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161883b318c98f9/Desktop/excel innaya/SEM 1/DESCRIPTIVE/"/>
    </mc:Choice>
  </mc:AlternateContent>
  <xr:revisionPtr revIDLastSave="0" documentId="8_{593387DA-768F-488A-9E11-20EF510C0F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1" i="1" l="1"/>
  <c r="AE31" i="1" s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I31" i="1" s="1"/>
  <c r="L29" i="1"/>
  <c r="K29" i="1"/>
  <c r="AD28" i="1"/>
  <c r="AE28" i="1" s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I30" i="1" s="1"/>
  <c r="L28" i="1"/>
  <c r="K28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I29" i="1" s="1"/>
  <c r="L27" i="1"/>
  <c r="K27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I28" i="1" s="1"/>
  <c r="L26" i="1"/>
  <c r="K26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I27" i="1" s="1"/>
  <c r="L25" i="1"/>
  <c r="K25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I26" i="1" s="1"/>
  <c r="L24" i="1"/>
  <c r="K24" i="1"/>
  <c r="AD23" i="1"/>
  <c r="AC23" i="1"/>
  <c r="AB23" i="1"/>
  <c r="AE23" i="1" s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I25" i="1" s="1"/>
  <c r="L23" i="1"/>
  <c r="K23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I24" i="1" s="1"/>
  <c r="L22" i="1"/>
  <c r="K22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I23" i="1" s="1"/>
  <c r="L21" i="1"/>
  <c r="K21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I22" i="1" s="1"/>
  <c r="L20" i="1"/>
  <c r="K20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I21" i="1" s="1"/>
  <c r="L19" i="1"/>
  <c r="K19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I20" i="1" s="1"/>
  <c r="L18" i="1"/>
  <c r="K18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I19" i="1" s="1"/>
  <c r="L17" i="1"/>
  <c r="K17" i="1"/>
  <c r="AD16" i="1"/>
  <c r="AE16" i="1" s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I18" i="1" s="1"/>
  <c r="L16" i="1"/>
  <c r="K16" i="1"/>
  <c r="AD15" i="1"/>
  <c r="AC15" i="1"/>
  <c r="AB15" i="1"/>
  <c r="AE15" i="1" s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I17" i="1" s="1"/>
  <c r="L15" i="1"/>
  <c r="K15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I16" i="1" s="1"/>
  <c r="L14" i="1"/>
  <c r="K14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I15" i="1" s="1"/>
  <c r="L13" i="1"/>
  <c r="K13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I14" i="1" s="1"/>
  <c r="L12" i="1"/>
  <c r="K12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I13" i="1" s="1"/>
  <c r="L11" i="1"/>
  <c r="K11" i="1"/>
  <c r="AD10" i="1"/>
  <c r="AE10" i="1" s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I12" i="1" s="1"/>
  <c r="L10" i="1"/>
  <c r="K10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I11" i="1" s="1"/>
  <c r="L9" i="1"/>
  <c r="K9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I10" i="1" s="1"/>
  <c r="L8" i="1"/>
  <c r="K8" i="1"/>
  <c r="AD7" i="1"/>
  <c r="AC7" i="1"/>
  <c r="AB7" i="1"/>
  <c r="AE7" i="1" s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I9" i="1" s="1"/>
  <c r="L7" i="1"/>
  <c r="K7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I8" i="1" s="1"/>
  <c r="L6" i="1"/>
  <c r="K6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I7" i="1" s="1"/>
  <c r="L5" i="1"/>
  <c r="K5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I6" i="1" s="1"/>
  <c r="L4" i="1"/>
  <c r="K4" i="1"/>
  <c r="AD3" i="1"/>
  <c r="AE3" i="1" s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I5" i="1" s="1"/>
  <c r="L3" i="1"/>
  <c r="K3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I2" i="1" s="1"/>
  <c r="P2" i="1"/>
  <c r="O2" i="1"/>
  <c r="N2" i="1"/>
  <c r="M2" i="1"/>
  <c r="I4" i="1" s="1"/>
  <c r="L2" i="1"/>
  <c r="K2" i="1"/>
  <c r="AE6" i="1" l="1"/>
  <c r="AE24" i="1"/>
  <c r="AE8" i="1"/>
  <c r="AE13" i="1"/>
  <c r="AE2" i="1"/>
  <c r="AE26" i="1"/>
  <c r="AE9" i="1"/>
  <c r="AE12" i="1"/>
  <c r="AE18" i="1"/>
  <c r="AE5" i="1"/>
  <c r="AE20" i="1"/>
  <c r="AE4" i="1"/>
  <c r="AE21" i="1"/>
  <c r="AE29" i="1"/>
  <c r="AE11" i="1"/>
  <c r="AE17" i="1"/>
  <c r="AE25" i="1"/>
  <c r="AE14" i="1"/>
  <c r="AE19" i="1"/>
  <c r="AE22" i="1"/>
  <c r="AE27" i="1"/>
  <c r="AE30" i="1"/>
  <c r="I3" i="1"/>
</calcChain>
</file>

<file path=xl/sharedStrings.xml><?xml version="1.0" encoding="utf-8"?>
<sst xmlns="http://schemas.openxmlformats.org/spreadsheetml/2006/main" count="64" uniqueCount="53">
  <si>
    <t>Sl.No</t>
  </si>
  <si>
    <t>Products</t>
  </si>
  <si>
    <t>Rita</t>
  </si>
  <si>
    <t>Mona</t>
  </si>
  <si>
    <t>Lisa</t>
  </si>
  <si>
    <t>Elly</t>
  </si>
  <si>
    <t>Jenny</t>
  </si>
  <si>
    <t>Cathy</t>
  </si>
  <si>
    <t xml:space="preserve">Z-score or standard score </t>
  </si>
  <si>
    <t>sum</t>
  </si>
  <si>
    <t>average (or) arithmetic mean</t>
  </si>
  <si>
    <t>geometric mean</t>
  </si>
  <si>
    <t>harmonic mean</t>
  </si>
  <si>
    <t>median</t>
  </si>
  <si>
    <t>mode</t>
  </si>
  <si>
    <t>standard deviation for sample</t>
  </si>
  <si>
    <t>standard deviation for population</t>
  </si>
  <si>
    <t xml:space="preserve">variance for sample </t>
  </si>
  <si>
    <t>variance for population</t>
  </si>
  <si>
    <t>skewness</t>
  </si>
  <si>
    <t>kurtosis</t>
  </si>
  <si>
    <t>quartile 0</t>
  </si>
  <si>
    <t>quartile 1</t>
  </si>
  <si>
    <t>quartile 2</t>
  </si>
  <si>
    <t>quartile 3</t>
  </si>
  <si>
    <t>quartile 4</t>
  </si>
  <si>
    <t>min</t>
  </si>
  <si>
    <t>max</t>
  </si>
  <si>
    <t>range</t>
  </si>
  <si>
    <t>Rings</t>
  </si>
  <si>
    <t>studs</t>
  </si>
  <si>
    <t>watches</t>
  </si>
  <si>
    <t>bracelets</t>
  </si>
  <si>
    <t>art pieces</t>
  </si>
  <si>
    <t>necklaces</t>
  </si>
  <si>
    <t>chains</t>
  </si>
  <si>
    <t>nail pieces</t>
  </si>
  <si>
    <t>Coco rush</t>
  </si>
  <si>
    <t>N degree 5</t>
  </si>
  <si>
    <t>Camella</t>
  </si>
  <si>
    <t>Ultra</t>
  </si>
  <si>
    <t>Ruban</t>
  </si>
  <si>
    <t>Baroque</t>
  </si>
  <si>
    <t>J12</t>
  </si>
  <si>
    <t>Premiere</t>
  </si>
  <si>
    <t>Boyfriend</t>
  </si>
  <si>
    <t>Code dodo</t>
  </si>
  <si>
    <t>Monsieur de Chanel</t>
  </si>
  <si>
    <t>craft watches</t>
  </si>
  <si>
    <t xml:space="preserve">Leptokurtic </t>
  </si>
  <si>
    <t>mesokurtic</t>
  </si>
  <si>
    <t>platykurtic</t>
  </si>
  <si>
    <t>outliers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</si>
</sst>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152400</xdr:colOff>
      <xdr:row>46</xdr:row>
      <xdr:rowOff>123825</xdr:rowOff>
    </xdr:from>
    <xdr:ext cx="9525" cy="1400175"/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2552290" y="9340645"/>
          <a:ext cx="12291" cy="1294581"/>
        </a:xfrm>
        <a:prstGeom prst="line">
          <a:avLst/>
        </a:prstGeom>
        <a:ln w="6350" cap="flat" cmpd="sng" algn="ctr">
          <a:solidFill>
            <a:schemeClr val="accent1"/>
          </a:solidFill>
          <a:prstDash val="solid"/>
          <a:miter lim="800000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3</xdr:col>
      <xdr:colOff>133350</xdr:colOff>
      <xdr:row>53</xdr:row>
      <xdr:rowOff>85725</xdr:rowOff>
    </xdr:from>
    <xdr:ext cx="1123950" cy="38100"/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 flipV="1">
          <a:off x="2531806" y="10590161"/>
          <a:ext cx="1667388" cy="45065"/>
        </a:xfrm>
        <a:prstGeom prst="line">
          <a:avLst/>
        </a:prstGeom>
        <a:ln w="6350" cap="flat" cmpd="sng" algn="ctr">
          <a:solidFill>
            <a:schemeClr val="accent1"/>
          </a:solidFill>
          <a:prstDash val="solid"/>
          <a:miter lim="800000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3</xdr:col>
      <xdr:colOff>219075</xdr:colOff>
      <xdr:row>46</xdr:row>
      <xdr:rowOff>85725</xdr:rowOff>
    </xdr:from>
    <xdr:ext cx="981075" cy="1381125"/>
    <xdr:sp macro="" textlink="">
      <xdr:nvSpPr>
        <xdr:cNvPr id="8" name="Freeform: Shap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613742" y="9295581"/>
          <a:ext cx="1814871" cy="1265903"/>
        </a:xfrm>
        <a:custGeom>
          <a:avLst/>
          <a:gdLst>
            <a:gd name="connsiteX0" fmla="*/ 0 w 1814871"/>
            <a:gd name="connsiteY0" fmla="*/ 1265903 h 1265903"/>
            <a:gd name="connsiteX1" fmla="*/ 49161 w 1814871"/>
            <a:gd name="connsiteY1" fmla="*/ 1212645 h 1265903"/>
            <a:gd name="connsiteX2" fmla="*/ 90129 w 1814871"/>
            <a:gd name="connsiteY2" fmla="*/ 1147096 h 1265903"/>
            <a:gd name="connsiteX3" fmla="*/ 110613 w 1814871"/>
            <a:gd name="connsiteY3" fmla="*/ 1114322 h 1265903"/>
            <a:gd name="connsiteX4" fmla="*/ 127000 w 1814871"/>
            <a:gd name="connsiteY4" fmla="*/ 1093838 h 1265903"/>
            <a:gd name="connsiteX5" fmla="*/ 147484 w 1814871"/>
            <a:gd name="connsiteY5" fmla="*/ 1036484 h 1265903"/>
            <a:gd name="connsiteX6" fmla="*/ 151581 w 1814871"/>
            <a:gd name="connsiteY6" fmla="*/ 1016000 h 1265903"/>
            <a:gd name="connsiteX7" fmla="*/ 167968 w 1814871"/>
            <a:gd name="connsiteY7" fmla="*/ 966838 h 1265903"/>
            <a:gd name="connsiteX8" fmla="*/ 176161 w 1814871"/>
            <a:gd name="connsiteY8" fmla="*/ 925871 h 1265903"/>
            <a:gd name="connsiteX9" fmla="*/ 180258 w 1814871"/>
            <a:gd name="connsiteY9" fmla="*/ 913580 h 1265903"/>
            <a:gd name="connsiteX10" fmla="*/ 192548 w 1814871"/>
            <a:gd name="connsiteY10" fmla="*/ 880806 h 1265903"/>
            <a:gd name="connsiteX11" fmla="*/ 208935 w 1814871"/>
            <a:gd name="connsiteY11" fmla="*/ 802967 h 1265903"/>
            <a:gd name="connsiteX12" fmla="*/ 233516 w 1814871"/>
            <a:gd name="connsiteY12" fmla="*/ 721032 h 1265903"/>
            <a:gd name="connsiteX13" fmla="*/ 241710 w 1814871"/>
            <a:gd name="connsiteY13" fmla="*/ 684161 h 1265903"/>
            <a:gd name="connsiteX14" fmla="*/ 249903 w 1814871"/>
            <a:gd name="connsiteY14" fmla="*/ 655484 h 1265903"/>
            <a:gd name="connsiteX15" fmla="*/ 254000 w 1814871"/>
            <a:gd name="connsiteY15" fmla="*/ 626806 h 1265903"/>
            <a:gd name="connsiteX16" fmla="*/ 270387 w 1814871"/>
            <a:gd name="connsiteY16" fmla="*/ 581742 h 1265903"/>
            <a:gd name="connsiteX17" fmla="*/ 286774 w 1814871"/>
            <a:gd name="connsiteY17" fmla="*/ 520290 h 1265903"/>
            <a:gd name="connsiteX18" fmla="*/ 299064 w 1814871"/>
            <a:gd name="connsiteY18" fmla="*/ 491613 h 1265903"/>
            <a:gd name="connsiteX19" fmla="*/ 307258 w 1814871"/>
            <a:gd name="connsiteY19" fmla="*/ 475225 h 1265903"/>
            <a:gd name="connsiteX20" fmla="*/ 311355 w 1814871"/>
            <a:gd name="connsiteY20" fmla="*/ 458838 h 1265903"/>
            <a:gd name="connsiteX21" fmla="*/ 344129 w 1814871"/>
            <a:gd name="connsiteY21" fmla="*/ 409677 h 1265903"/>
            <a:gd name="connsiteX22" fmla="*/ 360516 w 1814871"/>
            <a:gd name="connsiteY22" fmla="*/ 364613 h 1265903"/>
            <a:gd name="connsiteX23" fmla="*/ 381000 w 1814871"/>
            <a:gd name="connsiteY23" fmla="*/ 327742 h 1265903"/>
            <a:gd name="connsiteX24" fmla="*/ 393290 w 1814871"/>
            <a:gd name="connsiteY24" fmla="*/ 307258 h 1265903"/>
            <a:gd name="connsiteX25" fmla="*/ 401484 w 1814871"/>
            <a:gd name="connsiteY25" fmla="*/ 290871 h 1265903"/>
            <a:gd name="connsiteX26" fmla="*/ 434258 w 1814871"/>
            <a:gd name="connsiteY26" fmla="*/ 241709 h 1265903"/>
            <a:gd name="connsiteX27" fmla="*/ 454742 w 1814871"/>
            <a:gd name="connsiteY27" fmla="*/ 208935 h 1265903"/>
            <a:gd name="connsiteX28" fmla="*/ 475226 w 1814871"/>
            <a:gd name="connsiteY28" fmla="*/ 188451 h 1265903"/>
            <a:gd name="connsiteX29" fmla="*/ 499806 w 1814871"/>
            <a:gd name="connsiteY29" fmla="*/ 147484 h 1265903"/>
            <a:gd name="connsiteX30" fmla="*/ 512097 w 1814871"/>
            <a:gd name="connsiteY30" fmla="*/ 127000 h 1265903"/>
            <a:gd name="connsiteX31" fmla="*/ 540774 w 1814871"/>
            <a:gd name="connsiteY31" fmla="*/ 94225 h 1265903"/>
            <a:gd name="connsiteX32" fmla="*/ 569452 w 1814871"/>
            <a:gd name="connsiteY32" fmla="*/ 65548 h 1265903"/>
            <a:gd name="connsiteX33" fmla="*/ 585839 w 1814871"/>
            <a:gd name="connsiteY33" fmla="*/ 49161 h 1265903"/>
            <a:gd name="connsiteX34" fmla="*/ 622710 w 1814871"/>
            <a:gd name="connsiteY34" fmla="*/ 28677 h 1265903"/>
            <a:gd name="connsiteX35" fmla="*/ 651387 w 1814871"/>
            <a:gd name="connsiteY35" fmla="*/ 20484 h 1265903"/>
            <a:gd name="connsiteX36" fmla="*/ 667774 w 1814871"/>
            <a:gd name="connsiteY36" fmla="*/ 12290 h 1265903"/>
            <a:gd name="connsiteX37" fmla="*/ 688258 w 1814871"/>
            <a:gd name="connsiteY37" fmla="*/ 8193 h 1265903"/>
            <a:gd name="connsiteX38" fmla="*/ 716935 w 1814871"/>
            <a:gd name="connsiteY38" fmla="*/ 0 h 1265903"/>
            <a:gd name="connsiteX39" fmla="*/ 790677 w 1814871"/>
            <a:gd name="connsiteY39" fmla="*/ 4096 h 1265903"/>
            <a:gd name="connsiteX40" fmla="*/ 807064 w 1814871"/>
            <a:gd name="connsiteY40" fmla="*/ 16387 h 1265903"/>
            <a:gd name="connsiteX41" fmla="*/ 839839 w 1814871"/>
            <a:gd name="connsiteY41" fmla="*/ 28677 h 1265903"/>
            <a:gd name="connsiteX42" fmla="*/ 876710 w 1814871"/>
            <a:gd name="connsiteY42" fmla="*/ 45064 h 1265903"/>
            <a:gd name="connsiteX43" fmla="*/ 893097 w 1814871"/>
            <a:gd name="connsiteY43" fmla="*/ 53258 h 1265903"/>
            <a:gd name="connsiteX44" fmla="*/ 913581 w 1814871"/>
            <a:gd name="connsiteY44" fmla="*/ 57354 h 1265903"/>
            <a:gd name="connsiteX45" fmla="*/ 934064 w 1814871"/>
            <a:gd name="connsiteY45" fmla="*/ 69645 h 1265903"/>
            <a:gd name="connsiteX46" fmla="*/ 946355 w 1814871"/>
            <a:gd name="connsiteY46" fmla="*/ 73742 h 1265903"/>
            <a:gd name="connsiteX47" fmla="*/ 975032 w 1814871"/>
            <a:gd name="connsiteY47" fmla="*/ 98322 h 1265903"/>
            <a:gd name="connsiteX48" fmla="*/ 1007806 w 1814871"/>
            <a:gd name="connsiteY48" fmla="*/ 131096 h 1265903"/>
            <a:gd name="connsiteX49" fmla="*/ 1040581 w 1814871"/>
            <a:gd name="connsiteY49" fmla="*/ 167967 h 1265903"/>
            <a:gd name="connsiteX50" fmla="*/ 1056968 w 1814871"/>
            <a:gd name="connsiteY50" fmla="*/ 176161 h 1265903"/>
            <a:gd name="connsiteX51" fmla="*/ 1065161 w 1814871"/>
            <a:gd name="connsiteY51" fmla="*/ 188451 h 1265903"/>
            <a:gd name="connsiteX52" fmla="*/ 1081548 w 1814871"/>
            <a:gd name="connsiteY52" fmla="*/ 204838 h 1265903"/>
            <a:gd name="connsiteX53" fmla="*/ 1106129 w 1814871"/>
            <a:gd name="connsiteY53" fmla="*/ 237613 h 1265903"/>
            <a:gd name="connsiteX54" fmla="*/ 1114323 w 1814871"/>
            <a:gd name="connsiteY54" fmla="*/ 262193 h 1265903"/>
            <a:gd name="connsiteX55" fmla="*/ 1134806 w 1814871"/>
            <a:gd name="connsiteY55" fmla="*/ 294967 h 1265903"/>
            <a:gd name="connsiteX56" fmla="*/ 1147097 w 1814871"/>
            <a:gd name="connsiteY56" fmla="*/ 372806 h 1265903"/>
            <a:gd name="connsiteX57" fmla="*/ 1155290 w 1814871"/>
            <a:gd name="connsiteY57" fmla="*/ 389193 h 1265903"/>
            <a:gd name="connsiteX58" fmla="*/ 1212645 w 1814871"/>
            <a:gd name="connsiteY58" fmla="*/ 471129 h 1265903"/>
            <a:gd name="connsiteX59" fmla="*/ 1229032 w 1814871"/>
            <a:gd name="connsiteY59" fmla="*/ 499806 h 1265903"/>
            <a:gd name="connsiteX60" fmla="*/ 1274097 w 1814871"/>
            <a:gd name="connsiteY60" fmla="*/ 548967 h 1265903"/>
            <a:gd name="connsiteX61" fmla="*/ 1302774 w 1814871"/>
            <a:gd name="connsiteY61" fmla="*/ 585838 h 1265903"/>
            <a:gd name="connsiteX62" fmla="*/ 1319161 w 1814871"/>
            <a:gd name="connsiteY62" fmla="*/ 614516 h 1265903"/>
            <a:gd name="connsiteX63" fmla="*/ 1335548 w 1814871"/>
            <a:gd name="connsiteY63" fmla="*/ 635000 h 1265903"/>
            <a:gd name="connsiteX64" fmla="*/ 1347839 w 1814871"/>
            <a:gd name="connsiteY64" fmla="*/ 659580 h 1265903"/>
            <a:gd name="connsiteX65" fmla="*/ 1376516 w 1814871"/>
            <a:gd name="connsiteY65" fmla="*/ 712838 h 1265903"/>
            <a:gd name="connsiteX66" fmla="*/ 1388806 w 1814871"/>
            <a:gd name="connsiteY66" fmla="*/ 745613 h 1265903"/>
            <a:gd name="connsiteX67" fmla="*/ 1409290 w 1814871"/>
            <a:gd name="connsiteY67" fmla="*/ 782484 h 1265903"/>
            <a:gd name="connsiteX68" fmla="*/ 1425677 w 1814871"/>
            <a:gd name="connsiteY68" fmla="*/ 815258 h 1265903"/>
            <a:gd name="connsiteX69" fmla="*/ 1442064 w 1814871"/>
            <a:gd name="connsiteY69" fmla="*/ 856225 h 1265903"/>
            <a:gd name="connsiteX70" fmla="*/ 1454355 w 1814871"/>
            <a:gd name="connsiteY70" fmla="*/ 884903 h 1265903"/>
            <a:gd name="connsiteX71" fmla="*/ 1462548 w 1814871"/>
            <a:gd name="connsiteY71" fmla="*/ 897193 h 1265903"/>
            <a:gd name="connsiteX72" fmla="*/ 1491226 w 1814871"/>
            <a:gd name="connsiteY72" fmla="*/ 946354 h 1265903"/>
            <a:gd name="connsiteX73" fmla="*/ 1528097 w 1814871"/>
            <a:gd name="connsiteY73" fmla="*/ 991419 h 1265903"/>
            <a:gd name="connsiteX74" fmla="*/ 1540387 w 1814871"/>
            <a:gd name="connsiteY74" fmla="*/ 1016000 h 1265903"/>
            <a:gd name="connsiteX75" fmla="*/ 1564968 w 1814871"/>
            <a:gd name="connsiteY75" fmla="*/ 1052871 h 1265903"/>
            <a:gd name="connsiteX76" fmla="*/ 1585452 w 1814871"/>
            <a:gd name="connsiteY76" fmla="*/ 1097935 h 1265903"/>
            <a:gd name="connsiteX77" fmla="*/ 1593645 w 1814871"/>
            <a:gd name="connsiteY77" fmla="*/ 1114322 h 1265903"/>
            <a:gd name="connsiteX78" fmla="*/ 1634613 w 1814871"/>
            <a:gd name="connsiteY78" fmla="*/ 1163484 h 1265903"/>
            <a:gd name="connsiteX79" fmla="*/ 1642806 w 1814871"/>
            <a:gd name="connsiteY79" fmla="*/ 1179871 h 1265903"/>
            <a:gd name="connsiteX80" fmla="*/ 1646903 w 1814871"/>
            <a:gd name="connsiteY80" fmla="*/ 1192161 h 1265903"/>
            <a:gd name="connsiteX81" fmla="*/ 1659193 w 1814871"/>
            <a:gd name="connsiteY81" fmla="*/ 1200354 h 1265903"/>
            <a:gd name="connsiteX82" fmla="*/ 1675581 w 1814871"/>
            <a:gd name="connsiteY82" fmla="*/ 1216742 h 1265903"/>
            <a:gd name="connsiteX83" fmla="*/ 1687871 w 1814871"/>
            <a:gd name="connsiteY83" fmla="*/ 1220838 h 1265903"/>
            <a:gd name="connsiteX84" fmla="*/ 1704258 w 1814871"/>
            <a:gd name="connsiteY84" fmla="*/ 1229032 h 1265903"/>
            <a:gd name="connsiteX85" fmla="*/ 1716548 w 1814871"/>
            <a:gd name="connsiteY85" fmla="*/ 1233129 h 1265903"/>
            <a:gd name="connsiteX86" fmla="*/ 1753419 w 1814871"/>
            <a:gd name="connsiteY86" fmla="*/ 1241322 h 1265903"/>
            <a:gd name="connsiteX87" fmla="*/ 1814871 w 1814871"/>
            <a:gd name="connsiteY87" fmla="*/ 1233129 h 126590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  <a:cxn ang="0">
              <a:pos x="connsiteX58" y="connsiteY58"/>
            </a:cxn>
            <a:cxn ang="0">
              <a:pos x="connsiteX59" y="connsiteY59"/>
            </a:cxn>
            <a:cxn ang="0">
              <a:pos x="connsiteX60" y="connsiteY60"/>
            </a:cxn>
            <a:cxn ang="0">
              <a:pos x="connsiteX61" y="connsiteY61"/>
            </a:cxn>
            <a:cxn ang="0">
              <a:pos x="connsiteX62" y="connsiteY62"/>
            </a:cxn>
            <a:cxn ang="0">
              <a:pos x="connsiteX63" y="connsiteY63"/>
            </a:cxn>
            <a:cxn ang="0">
              <a:pos x="connsiteX64" y="connsiteY64"/>
            </a:cxn>
            <a:cxn ang="0">
              <a:pos x="connsiteX65" y="connsiteY65"/>
            </a:cxn>
            <a:cxn ang="0">
              <a:pos x="connsiteX66" y="connsiteY66"/>
            </a:cxn>
            <a:cxn ang="0">
              <a:pos x="connsiteX67" y="connsiteY67"/>
            </a:cxn>
            <a:cxn ang="0">
              <a:pos x="connsiteX68" y="connsiteY68"/>
            </a:cxn>
            <a:cxn ang="0">
              <a:pos x="connsiteX69" y="connsiteY69"/>
            </a:cxn>
            <a:cxn ang="0">
              <a:pos x="connsiteX70" y="connsiteY70"/>
            </a:cxn>
            <a:cxn ang="0">
              <a:pos x="connsiteX71" y="connsiteY71"/>
            </a:cxn>
            <a:cxn ang="0">
              <a:pos x="connsiteX72" y="connsiteY72"/>
            </a:cxn>
            <a:cxn ang="0">
              <a:pos x="connsiteX73" y="connsiteY73"/>
            </a:cxn>
            <a:cxn ang="0">
              <a:pos x="connsiteX74" y="connsiteY74"/>
            </a:cxn>
            <a:cxn ang="0">
              <a:pos x="connsiteX75" y="connsiteY75"/>
            </a:cxn>
            <a:cxn ang="0">
              <a:pos x="connsiteX76" y="connsiteY76"/>
            </a:cxn>
            <a:cxn ang="0">
              <a:pos x="connsiteX77" y="connsiteY77"/>
            </a:cxn>
            <a:cxn ang="0">
              <a:pos x="connsiteX78" y="connsiteY78"/>
            </a:cxn>
            <a:cxn ang="0">
              <a:pos x="connsiteX79" y="connsiteY79"/>
            </a:cxn>
            <a:cxn ang="0">
              <a:pos x="connsiteX80" y="connsiteY80"/>
            </a:cxn>
            <a:cxn ang="0">
              <a:pos x="connsiteX81" y="connsiteY81"/>
            </a:cxn>
            <a:cxn ang="0">
              <a:pos x="connsiteX82" y="connsiteY82"/>
            </a:cxn>
            <a:cxn ang="0">
              <a:pos x="connsiteX83" y="connsiteY83"/>
            </a:cxn>
            <a:cxn ang="0">
              <a:pos x="connsiteX84" y="connsiteY84"/>
            </a:cxn>
            <a:cxn ang="0">
              <a:pos x="connsiteX85" y="connsiteY85"/>
            </a:cxn>
            <a:cxn ang="0">
              <a:pos x="connsiteX86" y="connsiteY86"/>
            </a:cxn>
            <a:cxn ang="0">
              <a:pos x="connsiteX87" y="connsiteY87"/>
            </a:cxn>
          </a:cxnLst>
          <a:rect l="l" t="t" r="r" b="b"/>
          <a:pathLst>
            <a:path w="1814871" h="1265903">
              <a:moveTo>
                <a:pt x="0" y="1265903"/>
              </a:moveTo>
              <a:cubicBezTo>
                <a:pt x="45569" y="1243120"/>
                <a:pt x="8145" y="1267330"/>
                <a:pt x="49161" y="1212645"/>
              </a:cubicBezTo>
              <a:cubicBezTo>
                <a:pt x="74487" y="1178879"/>
                <a:pt x="53422" y="1208275"/>
                <a:pt x="90129" y="1147096"/>
              </a:cubicBezTo>
              <a:cubicBezTo>
                <a:pt x="96757" y="1136049"/>
                <a:pt x="102565" y="1124382"/>
                <a:pt x="110613" y="1114322"/>
              </a:cubicBezTo>
              <a:lnTo>
                <a:pt x="127000" y="1093838"/>
              </a:lnTo>
              <a:cubicBezTo>
                <a:pt x="131616" y="1081527"/>
                <a:pt x="143525" y="1050999"/>
                <a:pt x="147484" y="1036484"/>
              </a:cubicBezTo>
              <a:cubicBezTo>
                <a:pt x="149316" y="1029766"/>
                <a:pt x="149580" y="1022670"/>
                <a:pt x="151581" y="1016000"/>
              </a:cubicBezTo>
              <a:cubicBezTo>
                <a:pt x="168087" y="960977"/>
                <a:pt x="151506" y="1036801"/>
                <a:pt x="167968" y="966838"/>
              </a:cubicBezTo>
              <a:cubicBezTo>
                <a:pt x="171158" y="953282"/>
                <a:pt x="171757" y="939082"/>
                <a:pt x="176161" y="925871"/>
              </a:cubicBezTo>
              <a:cubicBezTo>
                <a:pt x="177527" y="921774"/>
                <a:pt x="178782" y="917639"/>
                <a:pt x="180258" y="913580"/>
              </a:cubicBezTo>
              <a:cubicBezTo>
                <a:pt x="184245" y="902615"/>
                <a:pt x="189620" y="892100"/>
                <a:pt x="192548" y="880806"/>
              </a:cubicBezTo>
              <a:cubicBezTo>
                <a:pt x="199202" y="855139"/>
                <a:pt x="202910" y="828788"/>
                <a:pt x="208935" y="802967"/>
              </a:cubicBezTo>
              <a:cubicBezTo>
                <a:pt x="228557" y="718873"/>
                <a:pt x="213039" y="794750"/>
                <a:pt x="233516" y="721032"/>
              </a:cubicBezTo>
              <a:cubicBezTo>
                <a:pt x="236886" y="708901"/>
                <a:pt x="238656" y="696375"/>
                <a:pt x="241710" y="684161"/>
              </a:cubicBezTo>
              <a:cubicBezTo>
                <a:pt x="244121" y="674516"/>
                <a:pt x="247820" y="665205"/>
                <a:pt x="249903" y="655484"/>
              </a:cubicBezTo>
              <a:cubicBezTo>
                <a:pt x="251926" y="646042"/>
                <a:pt x="251829" y="636215"/>
                <a:pt x="254000" y="626806"/>
              </a:cubicBezTo>
              <a:cubicBezTo>
                <a:pt x="256871" y="614366"/>
                <a:pt x="265497" y="593967"/>
                <a:pt x="270387" y="581742"/>
              </a:cubicBezTo>
              <a:cubicBezTo>
                <a:pt x="275657" y="550122"/>
                <a:pt x="273349" y="556090"/>
                <a:pt x="286774" y="520290"/>
              </a:cubicBezTo>
              <a:cubicBezTo>
                <a:pt x="290426" y="510552"/>
                <a:pt x="294761" y="501081"/>
                <a:pt x="299064" y="491613"/>
              </a:cubicBezTo>
              <a:cubicBezTo>
                <a:pt x="301591" y="486053"/>
                <a:pt x="305113" y="480944"/>
                <a:pt x="307258" y="475225"/>
              </a:cubicBezTo>
              <a:cubicBezTo>
                <a:pt x="309235" y="469953"/>
                <a:pt x="309378" y="464110"/>
                <a:pt x="311355" y="458838"/>
              </a:cubicBezTo>
              <a:cubicBezTo>
                <a:pt x="318506" y="439768"/>
                <a:pt x="331869" y="426023"/>
                <a:pt x="344129" y="409677"/>
              </a:cubicBezTo>
              <a:cubicBezTo>
                <a:pt x="349591" y="394656"/>
                <a:pt x="354430" y="379393"/>
                <a:pt x="360516" y="364613"/>
              </a:cubicBezTo>
              <a:cubicBezTo>
                <a:pt x="370497" y="340372"/>
                <a:pt x="370149" y="345104"/>
                <a:pt x="381000" y="327742"/>
              </a:cubicBezTo>
              <a:cubicBezTo>
                <a:pt x="385220" y="320990"/>
                <a:pt x="389423" y="314219"/>
                <a:pt x="393290" y="307258"/>
              </a:cubicBezTo>
              <a:cubicBezTo>
                <a:pt x="396256" y="301919"/>
                <a:pt x="398247" y="296050"/>
                <a:pt x="401484" y="290871"/>
              </a:cubicBezTo>
              <a:cubicBezTo>
                <a:pt x="411922" y="274170"/>
                <a:pt x="423525" y="258222"/>
                <a:pt x="434258" y="241709"/>
              </a:cubicBezTo>
              <a:cubicBezTo>
                <a:pt x="441279" y="230907"/>
                <a:pt x="445632" y="218045"/>
                <a:pt x="454742" y="208935"/>
              </a:cubicBezTo>
              <a:cubicBezTo>
                <a:pt x="461570" y="202107"/>
                <a:pt x="469516" y="196238"/>
                <a:pt x="475226" y="188451"/>
              </a:cubicBezTo>
              <a:cubicBezTo>
                <a:pt x="484644" y="175609"/>
                <a:pt x="491613" y="161140"/>
                <a:pt x="499806" y="147484"/>
              </a:cubicBezTo>
              <a:cubicBezTo>
                <a:pt x="503903" y="140656"/>
                <a:pt x="506466" y="132631"/>
                <a:pt x="512097" y="127000"/>
              </a:cubicBezTo>
              <a:cubicBezTo>
                <a:pt x="578007" y="61090"/>
                <a:pt x="484343" y="156300"/>
                <a:pt x="540774" y="94225"/>
              </a:cubicBezTo>
              <a:cubicBezTo>
                <a:pt x="549868" y="84222"/>
                <a:pt x="559893" y="75107"/>
                <a:pt x="569452" y="65548"/>
              </a:cubicBezTo>
              <a:cubicBezTo>
                <a:pt x="574914" y="60086"/>
                <a:pt x="579215" y="53135"/>
                <a:pt x="585839" y="49161"/>
              </a:cubicBezTo>
              <a:cubicBezTo>
                <a:pt x="598785" y="41394"/>
                <a:pt x="608999" y="34553"/>
                <a:pt x="622710" y="28677"/>
              </a:cubicBezTo>
              <a:cubicBezTo>
                <a:pt x="630942" y="25149"/>
                <a:pt x="643066" y="22564"/>
                <a:pt x="651387" y="20484"/>
              </a:cubicBezTo>
              <a:cubicBezTo>
                <a:pt x="656849" y="17753"/>
                <a:pt x="661980" y="14221"/>
                <a:pt x="667774" y="12290"/>
              </a:cubicBezTo>
              <a:cubicBezTo>
                <a:pt x="674380" y="10088"/>
                <a:pt x="681503" y="9882"/>
                <a:pt x="688258" y="8193"/>
              </a:cubicBezTo>
              <a:cubicBezTo>
                <a:pt x="697903" y="5782"/>
                <a:pt x="707376" y="2731"/>
                <a:pt x="716935" y="0"/>
              </a:cubicBezTo>
              <a:cubicBezTo>
                <a:pt x="741516" y="1365"/>
                <a:pt x="766456" y="-308"/>
                <a:pt x="790677" y="4096"/>
              </a:cubicBezTo>
              <a:cubicBezTo>
                <a:pt x="797395" y="5317"/>
                <a:pt x="801274" y="12768"/>
                <a:pt x="807064" y="16387"/>
              </a:cubicBezTo>
              <a:cubicBezTo>
                <a:pt x="821343" y="25311"/>
                <a:pt x="824114" y="24746"/>
                <a:pt x="839839" y="28677"/>
              </a:cubicBezTo>
              <a:cubicBezTo>
                <a:pt x="862028" y="50866"/>
                <a:pt x="840643" y="34243"/>
                <a:pt x="876710" y="45064"/>
              </a:cubicBezTo>
              <a:cubicBezTo>
                <a:pt x="882560" y="46819"/>
                <a:pt x="887303" y="51327"/>
                <a:pt x="893097" y="53258"/>
              </a:cubicBezTo>
              <a:cubicBezTo>
                <a:pt x="899703" y="55460"/>
                <a:pt x="906753" y="55989"/>
                <a:pt x="913581" y="57354"/>
              </a:cubicBezTo>
              <a:cubicBezTo>
                <a:pt x="920409" y="61451"/>
                <a:pt x="926942" y="66084"/>
                <a:pt x="934064" y="69645"/>
              </a:cubicBezTo>
              <a:cubicBezTo>
                <a:pt x="937927" y="71576"/>
                <a:pt x="943037" y="70977"/>
                <a:pt x="946355" y="73742"/>
              </a:cubicBezTo>
              <a:cubicBezTo>
                <a:pt x="986240" y="106979"/>
                <a:pt x="931133" y="76374"/>
                <a:pt x="975032" y="98322"/>
              </a:cubicBezTo>
              <a:cubicBezTo>
                <a:pt x="1025629" y="161569"/>
                <a:pt x="961041" y="84331"/>
                <a:pt x="1007806" y="131096"/>
              </a:cubicBezTo>
              <a:cubicBezTo>
                <a:pt x="1024690" y="147980"/>
                <a:pt x="1021834" y="153907"/>
                <a:pt x="1040581" y="167967"/>
              </a:cubicBezTo>
              <a:cubicBezTo>
                <a:pt x="1045467" y="171631"/>
                <a:pt x="1051506" y="173430"/>
                <a:pt x="1056968" y="176161"/>
              </a:cubicBezTo>
              <a:cubicBezTo>
                <a:pt x="1059699" y="180258"/>
                <a:pt x="1061957" y="184713"/>
                <a:pt x="1065161" y="188451"/>
              </a:cubicBezTo>
              <a:cubicBezTo>
                <a:pt x="1070188" y="194316"/>
                <a:pt x="1076913" y="198658"/>
                <a:pt x="1081548" y="204838"/>
              </a:cubicBezTo>
              <a:cubicBezTo>
                <a:pt x="1116498" y="251437"/>
                <a:pt x="1055950" y="187431"/>
                <a:pt x="1106129" y="237613"/>
              </a:cubicBezTo>
              <a:cubicBezTo>
                <a:pt x="1108860" y="245806"/>
                <a:pt x="1110461" y="254468"/>
                <a:pt x="1114323" y="262193"/>
              </a:cubicBezTo>
              <a:cubicBezTo>
                <a:pt x="1120084" y="273716"/>
                <a:pt x="1130137" y="282960"/>
                <a:pt x="1134806" y="294967"/>
              </a:cubicBezTo>
              <a:cubicBezTo>
                <a:pt x="1147596" y="327856"/>
                <a:pt x="1139535" y="340035"/>
                <a:pt x="1147097" y="372806"/>
              </a:cubicBezTo>
              <a:cubicBezTo>
                <a:pt x="1148470" y="378757"/>
                <a:pt x="1152148" y="383956"/>
                <a:pt x="1155290" y="389193"/>
              </a:cubicBezTo>
              <a:cubicBezTo>
                <a:pt x="1211742" y="483281"/>
                <a:pt x="1156059" y="388822"/>
                <a:pt x="1212645" y="471129"/>
              </a:cubicBezTo>
              <a:cubicBezTo>
                <a:pt x="1218882" y="480201"/>
                <a:pt x="1222765" y="490754"/>
                <a:pt x="1229032" y="499806"/>
              </a:cubicBezTo>
              <a:cubicBezTo>
                <a:pt x="1249122" y="528824"/>
                <a:pt x="1250461" y="521695"/>
                <a:pt x="1274097" y="548967"/>
              </a:cubicBezTo>
              <a:cubicBezTo>
                <a:pt x="1284294" y="560733"/>
                <a:pt x="1295049" y="572319"/>
                <a:pt x="1302774" y="585838"/>
              </a:cubicBezTo>
              <a:cubicBezTo>
                <a:pt x="1308236" y="595397"/>
                <a:pt x="1313054" y="605355"/>
                <a:pt x="1319161" y="614516"/>
              </a:cubicBezTo>
              <a:cubicBezTo>
                <a:pt x="1324011" y="621792"/>
                <a:pt x="1330853" y="627623"/>
                <a:pt x="1335548" y="635000"/>
              </a:cubicBezTo>
              <a:cubicBezTo>
                <a:pt x="1340466" y="642728"/>
                <a:pt x="1343452" y="651538"/>
                <a:pt x="1347839" y="659580"/>
              </a:cubicBezTo>
              <a:cubicBezTo>
                <a:pt x="1365037" y="691109"/>
                <a:pt x="1358678" y="672065"/>
                <a:pt x="1376516" y="712838"/>
              </a:cubicBezTo>
              <a:cubicBezTo>
                <a:pt x="1381193" y="723528"/>
                <a:pt x="1383838" y="735056"/>
                <a:pt x="1388806" y="745613"/>
              </a:cubicBezTo>
              <a:cubicBezTo>
                <a:pt x="1394792" y="758334"/>
                <a:pt x="1402712" y="770058"/>
                <a:pt x="1409290" y="782484"/>
              </a:cubicBezTo>
              <a:cubicBezTo>
                <a:pt x="1415005" y="793279"/>
                <a:pt x="1420215" y="804333"/>
                <a:pt x="1425677" y="815258"/>
              </a:cubicBezTo>
              <a:cubicBezTo>
                <a:pt x="1432878" y="851261"/>
                <a:pt x="1424428" y="820953"/>
                <a:pt x="1442064" y="856225"/>
              </a:cubicBezTo>
              <a:cubicBezTo>
                <a:pt x="1446715" y="865527"/>
                <a:pt x="1449704" y="875601"/>
                <a:pt x="1454355" y="884903"/>
              </a:cubicBezTo>
              <a:cubicBezTo>
                <a:pt x="1456557" y="889307"/>
                <a:pt x="1460015" y="892971"/>
                <a:pt x="1462548" y="897193"/>
              </a:cubicBezTo>
              <a:cubicBezTo>
                <a:pt x="1472309" y="913461"/>
                <a:pt x="1479213" y="931671"/>
                <a:pt x="1491226" y="946354"/>
              </a:cubicBezTo>
              <a:cubicBezTo>
                <a:pt x="1503516" y="961376"/>
                <a:pt x="1519417" y="974059"/>
                <a:pt x="1528097" y="991419"/>
              </a:cubicBezTo>
              <a:cubicBezTo>
                <a:pt x="1532194" y="999613"/>
                <a:pt x="1535674" y="1008145"/>
                <a:pt x="1540387" y="1016000"/>
              </a:cubicBezTo>
              <a:cubicBezTo>
                <a:pt x="1547987" y="1028666"/>
                <a:pt x="1558362" y="1039659"/>
                <a:pt x="1564968" y="1052871"/>
              </a:cubicBezTo>
              <a:cubicBezTo>
                <a:pt x="1583565" y="1090066"/>
                <a:pt x="1560959" y="1044050"/>
                <a:pt x="1585452" y="1097935"/>
              </a:cubicBezTo>
              <a:cubicBezTo>
                <a:pt x="1587979" y="1103495"/>
                <a:pt x="1589981" y="1109436"/>
                <a:pt x="1593645" y="1114322"/>
              </a:cubicBezTo>
              <a:cubicBezTo>
                <a:pt x="1606444" y="1131387"/>
                <a:pt x="1625074" y="1144404"/>
                <a:pt x="1634613" y="1163484"/>
              </a:cubicBezTo>
              <a:cubicBezTo>
                <a:pt x="1637344" y="1168946"/>
                <a:pt x="1640400" y="1174258"/>
                <a:pt x="1642806" y="1179871"/>
              </a:cubicBezTo>
              <a:cubicBezTo>
                <a:pt x="1644507" y="1183840"/>
                <a:pt x="1644205" y="1188789"/>
                <a:pt x="1646903" y="1192161"/>
              </a:cubicBezTo>
              <a:cubicBezTo>
                <a:pt x="1649979" y="1196006"/>
                <a:pt x="1655455" y="1197150"/>
                <a:pt x="1659193" y="1200354"/>
              </a:cubicBezTo>
              <a:cubicBezTo>
                <a:pt x="1665059" y="1205382"/>
                <a:pt x="1669295" y="1212252"/>
                <a:pt x="1675581" y="1216742"/>
              </a:cubicBezTo>
              <a:cubicBezTo>
                <a:pt x="1679095" y="1219252"/>
                <a:pt x="1683902" y="1219137"/>
                <a:pt x="1687871" y="1220838"/>
              </a:cubicBezTo>
              <a:cubicBezTo>
                <a:pt x="1693484" y="1223244"/>
                <a:pt x="1698645" y="1226626"/>
                <a:pt x="1704258" y="1229032"/>
              </a:cubicBezTo>
              <a:cubicBezTo>
                <a:pt x="1708227" y="1230733"/>
                <a:pt x="1712396" y="1231943"/>
                <a:pt x="1716548" y="1233129"/>
              </a:cubicBezTo>
              <a:cubicBezTo>
                <a:pt x="1730037" y="1236983"/>
                <a:pt x="1739353" y="1238509"/>
                <a:pt x="1753419" y="1241322"/>
              </a:cubicBezTo>
              <a:lnTo>
                <a:pt x="1814871" y="1233129"/>
              </a:lnTo>
            </a:path>
          </a:pathLst>
        </a:custGeom>
        <a:noFill/>
        <a:ln w="12700" cap="flat" cmpd="sng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IN" sz="1100" kern="1200"/>
        </a:p>
      </xdr:txBody>
    </xdr:sp>
    <xdr:clientData fLocksWithSheet="0"/>
  </xdr:oneCellAnchor>
  <xdr:oneCellAnchor>
    <xdr:from>
      <xdr:col>3</xdr:col>
      <xdr:colOff>209550</xdr:colOff>
      <xdr:row>50</xdr:row>
      <xdr:rowOff>123825</xdr:rowOff>
    </xdr:from>
    <xdr:ext cx="990600" cy="542925"/>
    <xdr:sp macro="" textlink="">
      <xdr:nvSpPr>
        <xdr:cNvPr id="9" name="Freeform: Shap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2609645" y="10078065"/>
          <a:ext cx="1835355" cy="487516"/>
        </a:xfrm>
        <a:custGeom>
          <a:avLst/>
          <a:gdLst>
            <a:gd name="connsiteX0" fmla="*/ 0 w 1835355"/>
            <a:gd name="connsiteY0" fmla="*/ 487516 h 487516"/>
            <a:gd name="connsiteX1" fmla="*/ 32774 w 1835355"/>
            <a:gd name="connsiteY1" fmla="*/ 446548 h 487516"/>
            <a:gd name="connsiteX2" fmla="*/ 73742 w 1835355"/>
            <a:gd name="connsiteY2" fmla="*/ 385096 h 487516"/>
            <a:gd name="connsiteX3" fmla="*/ 106516 w 1835355"/>
            <a:gd name="connsiteY3" fmla="*/ 356419 h 487516"/>
            <a:gd name="connsiteX4" fmla="*/ 131097 w 1835355"/>
            <a:gd name="connsiteY4" fmla="*/ 327741 h 487516"/>
            <a:gd name="connsiteX5" fmla="*/ 139290 w 1835355"/>
            <a:gd name="connsiteY5" fmla="*/ 315451 h 487516"/>
            <a:gd name="connsiteX6" fmla="*/ 180258 w 1835355"/>
            <a:gd name="connsiteY6" fmla="*/ 282677 h 487516"/>
            <a:gd name="connsiteX7" fmla="*/ 200742 w 1835355"/>
            <a:gd name="connsiteY7" fmla="*/ 266290 h 487516"/>
            <a:gd name="connsiteX8" fmla="*/ 225323 w 1835355"/>
            <a:gd name="connsiteY8" fmla="*/ 254000 h 487516"/>
            <a:gd name="connsiteX9" fmla="*/ 237613 w 1835355"/>
            <a:gd name="connsiteY9" fmla="*/ 249903 h 487516"/>
            <a:gd name="connsiteX10" fmla="*/ 294968 w 1835355"/>
            <a:gd name="connsiteY10" fmla="*/ 208935 h 487516"/>
            <a:gd name="connsiteX11" fmla="*/ 315452 w 1835355"/>
            <a:gd name="connsiteY11" fmla="*/ 196645 h 487516"/>
            <a:gd name="connsiteX12" fmla="*/ 331839 w 1835355"/>
            <a:gd name="connsiteY12" fmla="*/ 188451 h 487516"/>
            <a:gd name="connsiteX13" fmla="*/ 344129 w 1835355"/>
            <a:gd name="connsiteY13" fmla="*/ 176161 h 487516"/>
            <a:gd name="connsiteX14" fmla="*/ 376903 w 1835355"/>
            <a:gd name="connsiteY14" fmla="*/ 155677 h 487516"/>
            <a:gd name="connsiteX15" fmla="*/ 389194 w 1835355"/>
            <a:gd name="connsiteY15" fmla="*/ 139290 h 487516"/>
            <a:gd name="connsiteX16" fmla="*/ 401484 w 1835355"/>
            <a:gd name="connsiteY16" fmla="*/ 135193 h 487516"/>
            <a:gd name="connsiteX17" fmla="*/ 426065 w 1835355"/>
            <a:gd name="connsiteY17" fmla="*/ 122903 h 487516"/>
            <a:gd name="connsiteX18" fmla="*/ 438355 w 1835355"/>
            <a:gd name="connsiteY18" fmla="*/ 110612 h 487516"/>
            <a:gd name="connsiteX19" fmla="*/ 483420 w 1835355"/>
            <a:gd name="connsiteY19" fmla="*/ 98322 h 487516"/>
            <a:gd name="connsiteX20" fmla="*/ 548968 w 1835355"/>
            <a:gd name="connsiteY20" fmla="*/ 69645 h 487516"/>
            <a:gd name="connsiteX21" fmla="*/ 655484 w 1835355"/>
            <a:gd name="connsiteY21" fmla="*/ 16387 h 487516"/>
            <a:gd name="connsiteX22" fmla="*/ 680065 w 1835355"/>
            <a:gd name="connsiteY22" fmla="*/ 12290 h 487516"/>
            <a:gd name="connsiteX23" fmla="*/ 700549 w 1835355"/>
            <a:gd name="connsiteY23" fmla="*/ 8193 h 487516"/>
            <a:gd name="connsiteX24" fmla="*/ 766097 w 1835355"/>
            <a:gd name="connsiteY24" fmla="*/ 0 h 487516"/>
            <a:gd name="connsiteX25" fmla="*/ 1167581 w 1835355"/>
            <a:gd name="connsiteY25" fmla="*/ 4096 h 487516"/>
            <a:gd name="connsiteX26" fmla="*/ 1216742 w 1835355"/>
            <a:gd name="connsiteY26" fmla="*/ 28677 h 487516"/>
            <a:gd name="connsiteX27" fmla="*/ 1257710 w 1835355"/>
            <a:gd name="connsiteY27" fmla="*/ 57354 h 487516"/>
            <a:gd name="connsiteX28" fmla="*/ 1278194 w 1835355"/>
            <a:gd name="connsiteY28" fmla="*/ 69645 h 487516"/>
            <a:gd name="connsiteX29" fmla="*/ 1302774 w 1835355"/>
            <a:gd name="connsiteY29" fmla="*/ 86032 h 487516"/>
            <a:gd name="connsiteX30" fmla="*/ 1319161 w 1835355"/>
            <a:gd name="connsiteY30" fmla="*/ 98322 h 487516"/>
            <a:gd name="connsiteX31" fmla="*/ 1347839 w 1835355"/>
            <a:gd name="connsiteY31" fmla="*/ 110612 h 487516"/>
            <a:gd name="connsiteX32" fmla="*/ 1364226 w 1835355"/>
            <a:gd name="connsiteY32" fmla="*/ 122903 h 487516"/>
            <a:gd name="connsiteX33" fmla="*/ 1380613 w 1835355"/>
            <a:gd name="connsiteY33" fmla="*/ 127000 h 487516"/>
            <a:gd name="connsiteX34" fmla="*/ 1401097 w 1835355"/>
            <a:gd name="connsiteY34" fmla="*/ 135193 h 487516"/>
            <a:gd name="connsiteX35" fmla="*/ 1417484 w 1835355"/>
            <a:gd name="connsiteY35" fmla="*/ 143387 h 487516"/>
            <a:gd name="connsiteX36" fmla="*/ 1429774 w 1835355"/>
            <a:gd name="connsiteY36" fmla="*/ 147483 h 487516"/>
            <a:gd name="connsiteX37" fmla="*/ 1446161 w 1835355"/>
            <a:gd name="connsiteY37" fmla="*/ 155677 h 487516"/>
            <a:gd name="connsiteX38" fmla="*/ 1466645 w 1835355"/>
            <a:gd name="connsiteY38" fmla="*/ 159774 h 487516"/>
            <a:gd name="connsiteX39" fmla="*/ 1515807 w 1835355"/>
            <a:gd name="connsiteY39" fmla="*/ 188451 h 487516"/>
            <a:gd name="connsiteX40" fmla="*/ 1544484 w 1835355"/>
            <a:gd name="connsiteY40" fmla="*/ 208935 h 487516"/>
            <a:gd name="connsiteX41" fmla="*/ 1581355 w 1835355"/>
            <a:gd name="connsiteY41" fmla="*/ 266290 h 487516"/>
            <a:gd name="connsiteX42" fmla="*/ 1605936 w 1835355"/>
            <a:gd name="connsiteY42" fmla="*/ 299064 h 487516"/>
            <a:gd name="connsiteX43" fmla="*/ 1614129 w 1835355"/>
            <a:gd name="connsiteY43" fmla="*/ 311354 h 487516"/>
            <a:gd name="connsiteX44" fmla="*/ 1638710 w 1835355"/>
            <a:gd name="connsiteY44" fmla="*/ 335935 h 487516"/>
            <a:gd name="connsiteX45" fmla="*/ 1655097 w 1835355"/>
            <a:gd name="connsiteY45" fmla="*/ 352322 h 487516"/>
            <a:gd name="connsiteX46" fmla="*/ 1700161 w 1835355"/>
            <a:gd name="connsiteY46" fmla="*/ 372806 h 487516"/>
            <a:gd name="connsiteX47" fmla="*/ 1716549 w 1835355"/>
            <a:gd name="connsiteY47" fmla="*/ 376903 h 487516"/>
            <a:gd name="connsiteX48" fmla="*/ 1757516 w 1835355"/>
            <a:gd name="connsiteY48" fmla="*/ 389193 h 487516"/>
            <a:gd name="connsiteX49" fmla="*/ 1802581 w 1835355"/>
            <a:gd name="connsiteY49" fmla="*/ 413774 h 487516"/>
            <a:gd name="connsiteX50" fmla="*/ 1835355 w 1835355"/>
            <a:gd name="connsiteY50" fmla="*/ 421967 h 48751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</a:cxnLst>
          <a:rect l="l" t="t" r="r" b="b"/>
          <a:pathLst>
            <a:path w="1835355" h="487516">
              <a:moveTo>
                <a:pt x="0" y="487516"/>
              </a:moveTo>
              <a:cubicBezTo>
                <a:pt x="10925" y="473860"/>
                <a:pt x="23505" y="461378"/>
                <a:pt x="32774" y="446548"/>
              </a:cubicBezTo>
              <a:cubicBezTo>
                <a:pt x="45047" y="426912"/>
                <a:pt x="58935" y="403194"/>
                <a:pt x="73742" y="385096"/>
              </a:cubicBezTo>
              <a:cubicBezTo>
                <a:pt x="84974" y="371368"/>
                <a:pt x="92773" y="366726"/>
                <a:pt x="106516" y="356419"/>
              </a:cubicBezTo>
              <a:cubicBezTo>
                <a:pt x="122521" y="324411"/>
                <a:pt x="104505" y="354334"/>
                <a:pt x="131097" y="327741"/>
              </a:cubicBezTo>
              <a:cubicBezTo>
                <a:pt x="134578" y="324259"/>
                <a:pt x="135661" y="318778"/>
                <a:pt x="139290" y="315451"/>
              </a:cubicBezTo>
              <a:cubicBezTo>
                <a:pt x="152181" y="303634"/>
                <a:pt x="166602" y="293602"/>
                <a:pt x="180258" y="282677"/>
              </a:cubicBezTo>
              <a:cubicBezTo>
                <a:pt x="187086" y="277215"/>
                <a:pt x="192921" y="270200"/>
                <a:pt x="200742" y="266290"/>
              </a:cubicBezTo>
              <a:cubicBezTo>
                <a:pt x="208936" y="262193"/>
                <a:pt x="216952" y="257721"/>
                <a:pt x="225323" y="254000"/>
              </a:cubicBezTo>
              <a:cubicBezTo>
                <a:pt x="229269" y="252246"/>
                <a:pt x="233883" y="252079"/>
                <a:pt x="237613" y="249903"/>
              </a:cubicBezTo>
              <a:cubicBezTo>
                <a:pt x="296596" y="215495"/>
                <a:pt x="254167" y="237495"/>
                <a:pt x="294968" y="208935"/>
              </a:cubicBezTo>
              <a:cubicBezTo>
                <a:pt x="301491" y="204369"/>
                <a:pt x="308491" y="200512"/>
                <a:pt x="315452" y="196645"/>
              </a:cubicBezTo>
              <a:cubicBezTo>
                <a:pt x="320791" y="193679"/>
                <a:pt x="326869" y="192001"/>
                <a:pt x="331839" y="188451"/>
              </a:cubicBezTo>
              <a:cubicBezTo>
                <a:pt x="336553" y="185084"/>
                <a:pt x="339730" y="179931"/>
                <a:pt x="344129" y="176161"/>
              </a:cubicBezTo>
              <a:cubicBezTo>
                <a:pt x="359022" y="163395"/>
                <a:pt x="360115" y="164071"/>
                <a:pt x="376903" y="155677"/>
              </a:cubicBezTo>
              <a:cubicBezTo>
                <a:pt x="381000" y="150215"/>
                <a:pt x="383949" y="143661"/>
                <a:pt x="389194" y="139290"/>
              </a:cubicBezTo>
              <a:cubicBezTo>
                <a:pt x="392511" y="136526"/>
                <a:pt x="397538" y="136947"/>
                <a:pt x="401484" y="135193"/>
              </a:cubicBezTo>
              <a:cubicBezTo>
                <a:pt x="409855" y="131472"/>
                <a:pt x="417871" y="127000"/>
                <a:pt x="426065" y="122903"/>
              </a:cubicBezTo>
              <a:cubicBezTo>
                <a:pt x="430162" y="118806"/>
                <a:pt x="433442" y="113683"/>
                <a:pt x="438355" y="110612"/>
              </a:cubicBezTo>
              <a:cubicBezTo>
                <a:pt x="452707" y="101642"/>
                <a:pt x="467223" y="101022"/>
                <a:pt x="483420" y="98322"/>
              </a:cubicBezTo>
              <a:cubicBezTo>
                <a:pt x="511245" y="87192"/>
                <a:pt x="524715" y="83119"/>
                <a:pt x="548968" y="69645"/>
              </a:cubicBezTo>
              <a:cubicBezTo>
                <a:pt x="574953" y="55209"/>
                <a:pt x="625799" y="21335"/>
                <a:pt x="655484" y="16387"/>
              </a:cubicBezTo>
              <a:lnTo>
                <a:pt x="680065" y="12290"/>
              </a:lnTo>
              <a:cubicBezTo>
                <a:pt x="686916" y="11044"/>
                <a:pt x="693656" y="9178"/>
                <a:pt x="700549" y="8193"/>
              </a:cubicBezTo>
              <a:cubicBezTo>
                <a:pt x="722347" y="5079"/>
                <a:pt x="744248" y="2731"/>
                <a:pt x="766097" y="0"/>
              </a:cubicBezTo>
              <a:lnTo>
                <a:pt x="1167581" y="4096"/>
              </a:lnTo>
              <a:cubicBezTo>
                <a:pt x="1185865" y="5260"/>
                <a:pt x="1200355" y="20483"/>
                <a:pt x="1216742" y="28677"/>
              </a:cubicBezTo>
              <a:cubicBezTo>
                <a:pt x="1250492" y="45552"/>
                <a:pt x="1214774" y="26127"/>
                <a:pt x="1257710" y="57354"/>
              </a:cubicBezTo>
              <a:cubicBezTo>
                <a:pt x="1264150" y="62038"/>
                <a:pt x="1271476" y="65370"/>
                <a:pt x="1278194" y="69645"/>
              </a:cubicBezTo>
              <a:cubicBezTo>
                <a:pt x="1286502" y="74932"/>
                <a:pt x="1294707" y="80385"/>
                <a:pt x="1302774" y="86032"/>
              </a:cubicBezTo>
              <a:cubicBezTo>
                <a:pt x="1308368" y="89948"/>
                <a:pt x="1313371" y="94703"/>
                <a:pt x="1319161" y="98322"/>
              </a:cubicBezTo>
              <a:cubicBezTo>
                <a:pt x="1330735" y="105555"/>
                <a:pt x="1335890" y="106630"/>
                <a:pt x="1347839" y="110612"/>
              </a:cubicBezTo>
              <a:cubicBezTo>
                <a:pt x="1353301" y="114709"/>
                <a:pt x="1358119" y="119849"/>
                <a:pt x="1364226" y="122903"/>
              </a:cubicBezTo>
              <a:cubicBezTo>
                <a:pt x="1369262" y="125421"/>
                <a:pt x="1375271" y="125220"/>
                <a:pt x="1380613" y="127000"/>
              </a:cubicBezTo>
              <a:cubicBezTo>
                <a:pt x="1387590" y="129325"/>
                <a:pt x="1394377" y="132206"/>
                <a:pt x="1401097" y="135193"/>
              </a:cubicBezTo>
              <a:cubicBezTo>
                <a:pt x="1406678" y="137673"/>
                <a:pt x="1411871" y="140981"/>
                <a:pt x="1417484" y="143387"/>
              </a:cubicBezTo>
              <a:cubicBezTo>
                <a:pt x="1421453" y="145088"/>
                <a:pt x="1425805" y="145782"/>
                <a:pt x="1429774" y="147483"/>
              </a:cubicBezTo>
              <a:cubicBezTo>
                <a:pt x="1435387" y="149889"/>
                <a:pt x="1440367" y="153746"/>
                <a:pt x="1446161" y="155677"/>
              </a:cubicBezTo>
              <a:cubicBezTo>
                <a:pt x="1452767" y="157879"/>
                <a:pt x="1459817" y="158408"/>
                <a:pt x="1466645" y="159774"/>
              </a:cubicBezTo>
              <a:cubicBezTo>
                <a:pt x="1485813" y="188523"/>
                <a:pt x="1461859" y="157624"/>
                <a:pt x="1515807" y="188451"/>
              </a:cubicBezTo>
              <a:cubicBezTo>
                <a:pt x="1570246" y="219558"/>
                <a:pt x="1505301" y="195873"/>
                <a:pt x="1544484" y="208935"/>
              </a:cubicBezTo>
              <a:cubicBezTo>
                <a:pt x="1578378" y="254128"/>
                <a:pt x="1525158" y="181996"/>
                <a:pt x="1581355" y="266290"/>
              </a:cubicBezTo>
              <a:cubicBezTo>
                <a:pt x="1588930" y="277652"/>
                <a:pt x="1598361" y="287701"/>
                <a:pt x="1605936" y="299064"/>
              </a:cubicBezTo>
              <a:cubicBezTo>
                <a:pt x="1608667" y="303161"/>
                <a:pt x="1610858" y="307674"/>
                <a:pt x="1614129" y="311354"/>
              </a:cubicBezTo>
              <a:cubicBezTo>
                <a:pt x="1621827" y="320015"/>
                <a:pt x="1630516" y="327741"/>
                <a:pt x="1638710" y="335935"/>
              </a:cubicBezTo>
              <a:cubicBezTo>
                <a:pt x="1644172" y="341397"/>
                <a:pt x="1648188" y="348867"/>
                <a:pt x="1655097" y="352322"/>
              </a:cubicBezTo>
              <a:cubicBezTo>
                <a:pt x="1671199" y="360374"/>
                <a:pt x="1682195" y="366273"/>
                <a:pt x="1700161" y="372806"/>
              </a:cubicBezTo>
              <a:cubicBezTo>
                <a:pt x="1705453" y="374730"/>
                <a:pt x="1711135" y="375356"/>
                <a:pt x="1716549" y="376903"/>
              </a:cubicBezTo>
              <a:cubicBezTo>
                <a:pt x="1730257" y="380820"/>
                <a:pt x="1743860" y="385096"/>
                <a:pt x="1757516" y="389193"/>
              </a:cubicBezTo>
              <a:cubicBezTo>
                <a:pt x="1806133" y="419579"/>
                <a:pt x="1773985" y="403051"/>
                <a:pt x="1802581" y="413774"/>
              </a:cubicBezTo>
              <a:cubicBezTo>
                <a:pt x="1828487" y="423488"/>
                <a:pt x="1814809" y="421967"/>
                <a:pt x="1835355" y="421967"/>
              </a:cubicBezTo>
            </a:path>
          </a:pathLst>
        </a:custGeom>
        <a:noFill/>
        <a:ln w="12700" cap="flat" cmpd="sng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IN" sz="1100" kern="1200"/>
        </a:p>
      </xdr:txBody>
    </xdr:sp>
    <xdr:clientData fLocksWithSheet="0"/>
  </xdr:oneCellAnchor>
  <xdr:oneCellAnchor>
    <xdr:from>
      <xdr:col>3</xdr:col>
      <xdr:colOff>200025</xdr:colOff>
      <xdr:row>48</xdr:row>
      <xdr:rowOff>142875</xdr:rowOff>
    </xdr:from>
    <xdr:ext cx="1038225" cy="914400"/>
    <xdr:sp macro="" textlink="">
      <xdr:nvSpPr>
        <xdr:cNvPr id="10" name="Freeform: Shap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597355" y="9721645"/>
          <a:ext cx="1880419" cy="831645"/>
        </a:xfrm>
        <a:custGeom>
          <a:avLst/>
          <a:gdLst>
            <a:gd name="connsiteX0" fmla="*/ 0 w 1880419"/>
            <a:gd name="connsiteY0" fmla="*/ 831645 h 831645"/>
            <a:gd name="connsiteX1" fmla="*/ 16387 w 1880419"/>
            <a:gd name="connsiteY1" fmla="*/ 807065 h 831645"/>
            <a:gd name="connsiteX2" fmla="*/ 49161 w 1880419"/>
            <a:gd name="connsiteY2" fmla="*/ 766097 h 831645"/>
            <a:gd name="connsiteX3" fmla="*/ 65548 w 1880419"/>
            <a:gd name="connsiteY3" fmla="*/ 733323 h 831645"/>
            <a:gd name="connsiteX4" fmla="*/ 102419 w 1880419"/>
            <a:gd name="connsiteY4" fmla="*/ 675968 h 831645"/>
            <a:gd name="connsiteX5" fmla="*/ 110613 w 1880419"/>
            <a:gd name="connsiteY5" fmla="*/ 647290 h 831645"/>
            <a:gd name="connsiteX6" fmla="*/ 118806 w 1880419"/>
            <a:gd name="connsiteY6" fmla="*/ 610420 h 831645"/>
            <a:gd name="connsiteX7" fmla="*/ 131097 w 1880419"/>
            <a:gd name="connsiteY7" fmla="*/ 594032 h 831645"/>
            <a:gd name="connsiteX8" fmla="*/ 147484 w 1880419"/>
            <a:gd name="connsiteY8" fmla="*/ 561258 h 831645"/>
            <a:gd name="connsiteX9" fmla="*/ 192548 w 1880419"/>
            <a:gd name="connsiteY9" fmla="*/ 499807 h 831645"/>
            <a:gd name="connsiteX10" fmla="*/ 241710 w 1880419"/>
            <a:gd name="connsiteY10" fmla="*/ 434258 h 831645"/>
            <a:gd name="connsiteX11" fmla="*/ 245806 w 1880419"/>
            <a:gd name="connsiteY11" fmla="*/ 417871 h 831645"/>
            <a:gd name="connsiteX12" fmla="*/ 258097 w 1880419"/>
            <a:gd name="connsiteY12" fmla="*/ 401484 h 831645"/>
            <a:gd name="connsiteX13" fmla="*/ 270387 w 1880419"/>
            <a:gd name="connsiteY13" fmla="*/ 381000 h 831645"/>
            <a:gd name="connsiteX14" fmla="*/ 286774 w 1880419"/>
            <a:gd name="connsiteY14" fmla="*/ 360516 h 831645"/>
            <a:gd name="connsiteX15" fmla="*/ 299064 w 1880419"/>
            <a:gd name="connsiteY15" fmla="*/ 331839 h 831645"/>
            <a:gd name="connsiteX16" fmla="*/ 331839 w 1880419"/>
            <a:gd name="connsiteY16" fmla="*/ 290871 h 831645"/>
            <a:gd name="connsiteX17" fmla="*/ 389193 w 1880419"/>
            <a:gd name="connsiteY17" fmla="*/ 229420 h 831645"/>
            <a:gd name="connsiteX18" fmla="*/ 487516 w 1880419"/>
            <a:gd name="connsiteY18" fmla="*/ 131097 h 831645"/>
            <a:gd name="connsiteX19" fmla="*/ 565355 w 1880419"/>
            <a:gd name="connsiteY19" fmla="*/ 81936 h 831645"/>
            <a:gd name="connsiteX20" fmla="*/ 606322 w 1880419"/>
            <a:gd name="connsiteY20" fmla="*/ 65549 h 831645"/>
            <a:gd name="connsiteX21" fmla="*/ 671871 w 1880419"/>
            <a:gd name="connsiteY21" fmla="*/ 40968 h 831645"/>
            <a:gd name="connsiteX22" fmla="*/ 725129 w 1880419"/>
            <a:gd name="connsiteY22" fmla="*/ 16387 h 831645"/>
            <a:gd name="connsiteX23" fmla="*/ 745613 w 1880419"/>
            <a:gd name="connsiteY23" fmla="*/ 12290 h 831645"/>
            <a:gd name="connsiteX24" fmla="*/ 811161 w 1880419"/>
            <a:gd name="connsiteY24" fmla="*/ 0 h 831645"/>
            <a:gd name="connsiteX25" fmla="*/ 1056968 w 1880419"/>
            <a:gd name="connsiteY25" fmla="*/ 8194 h 831645"/>
            <a:gd name="connsiteX26" fmla="*/ 1110226 w 1880419"/>
            <a:gd name="connsiteY26" fmla="*/ 12290 h 831645"/>
            <a:gd name="connsiteX27" fmla="*/ 1196258 w 1880419"/>
            <a:gd name="connsiteY27" fmla="*/ 53258 h 831645"/>
            <a:gd name="connsiteX28" fmla="*/ 1265903 w 1880419"/>
            <a:gd name="connsiteY28" fmla="*/ 86032 h 831645"/>
            <a:gd name="connsiteX29" fmla="*/ 1302774 w 1880419"/>
            <a:gd name="connsiteY29" fmla="*/ 118807 h 831645"/>
            <a:gd name="connsiteX30" fmla="*/ 1319161 w 1880419"/>
            <a:gd name="connsiteY30" fmla="*/ 122903 h 831645"/>
            <a:gd name="connsiteX31" fmla="*/ 1331451 w 1880419"/>
            <a:gd name="connsiteY31" fmla="*/ 135194 h 831645"/>
            <a:gd name="connsiteX32" fmla="*/ 1376516 w 1880419"/>
            <a:gd name="connsiteY32" fmla="*/ 159774 h 831645"/>
            <a:gd name="connsiteX33" fmla="*/ 1417484 w 1880419"/>
            <a:gd name="connsiteY33" fmla="*/ 188452 h 831645"/>
            <a:gd name="connsiteX34" fmla="*/ 1470742 w 1880419"/>
            <a:gd name="connsiteY34" fmla="*/ 225323 h 831645"/>
            <a:gd name="connsiteX35" fmla="*/ 1495322 w 1880419"/>
            <a:gd name="connsiteY35" fmla="*/ 258097 h 831645"/>
            <a:gd name="connsiteX36" fmla="*/ 1581355 w 1880419"/>
            <a:gd name="connsiteY36" fmla="*/ 360516 h 831645"/>
            <a:gd name="connsiteX37" fmla="*/ 1655097 w 1880419"/>
            <a:gd name="connsiteY37" fmla="*/ 458839 h 831645"/>
            <a:gd name="connsiteX38" fmla="*/ 1679677 w 1880419"/>
            <a:gd name="connsiteY38" fmla="*/ 503903 h 831645"/>
            <a:gd name="connsiteX39" fmla="*/ 1687871 w 1880419"/>
            <a:gd name="connsiteY39" fmla="*/ 524387 h 831645"/>
            <a:gd name="connsiteX40" fmla="*/ 1691968 w 1880419"/>
            <a:gd name="connsiteY40" fmla="*/ 536678 h 831645"/>
            <a:gd name="connsiteX41" fmla="*/ 1708355 w 1880419"/>
            <a:gd name="connsiteY41" fmla="*/ 548968 h 831645"/>
            <a:gd name="connsiteX42" fmla="*/ 1716548 w 1880419"/>
            <a:gd name="connsiteY42" fmla="*/ 561258 h 831645"/>
            <a:gd name="connsiteX43" fmla="*/ 1745226 w 1880419"/>
            <a:gd name="connsiteY43" fmla="*/ 577645 h 831645"/>
            <a:gd name="connsiteX44" fmla="*/ 1757516 w 1880419"/>
            <a:gd name="connsiteY44" fmla="*/ 589936 h 831645"/>
            <a:gd name="connsiteX45" fmla="*/ 1769806 w 1880419"/>
            <a:gd name="connsiteY45" fmla="*/ 594032 h 831645"/>
            <a:gd name="connsiteX46" fmla="*/ 1802580 w 1880419"/>
            <a:gd name="connsiteY46" fmla="*/ 626807 h 831645"/>
            <a:gd name="connsiteX47" fmla="*/ 1827161 w 1880419"/>
            <a:gd name="connsiteY47" fmla="*/ 647290 h 831645"/>
            <a:gd name="connsiteX48" fmla="*/ 1843548 w 1880419"/>
            <a:gd name="connsiteY48" fmla="*/ 671871 h 831645"/>
            <a:gd name="connsiteX49" fmla="*/ 1855839 w 1880419"/>
            <a:gd name="connsiteY49" fmla="*/ 675968 h 831645"/>
            <a:gd name="connsiteX50" fmla="*/ 1880419 w 1880419"/>
            <a:gd name="connsiteY50" fmla="*/ 692355 h 83164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</a:cxnLst>
          <a:rect l="l" t="t" r="r" b="b"/>
          <a:pathLst>
            <a:path w="1880419" h="831645">
              <a:moveTo>
                <a:pt x="0" y="831645"/>
              </a:moveTo>
              <a:cubicBezTo>
                <a:pt x="5462" y="823452"/>
                <a:pt x="10479" y="814943"/>
                <a:pt x="16387" y="807065"/>
              </a:cubicBezTo>
              <a:cubicBezTo>
                <a:pt x="26880" y="793074"/>
                <a:pt x="39460" y="780648"/>
                <a:pt x="49161" y="766097"/>
              </a:cubicBezTo>
              <a:cubicBezTo>
                <a:pt x="55936" y="755934"/>
                <a:pt x="58943" y="743597"/>
                <a:pt x="65548" y="733323"/>
              </a:cubicBezTo>
              <a:cubicBezTo>
                <a:pt x="94726" y="687935"/>
                <a:pt x="80260" y="731364"/>
                <a:pt x="102419" y="675968"/>
              </a:cubicBezTo>
              <a:cubicBezTo>
                <a:pt x="106111" y="666737"/>
                <a:pt x="108202" y="656935"/>
                <a:pt x="110613" y="647290"/>
              </a:cubicBezTo>
              <a:cubicBezTo>
                <a:pt x="113666" y="635076"/>
                <a:pt x="114287" y="622171"/>
                <a:pt x="118806" y="610420"/>
              </a:cubicBezTo>
              <a:cubicBezTo>
                <a:pt x="121257" y="604047"/>
                <a:pt x="127656" y="599930"/>
                <a:pt x="131097" y="594032"/>
              </a:cubicBezTo>
              <a:cubicBezTo>
                <a:pt x="137251" y="583482"/>
                <a:pt x="138847" y="569895"/>
                <a:pt x="147484" y="561258"/>
              </a:cubicBezTo>
              <a:cubicBezTo>
                <a:pt x="205246" y="503496"/>
                <a:pt x="138238" y="575006"/>
                <a:pt x="192548" y="499807"/>
              </a:cubicBezTo>
              <a:cubicBezTo>
                <a:pt x="261125" y="404854"/>
                <a:pt x="198089" y="510593"/>
                <a:pt x="241710" y="434258"/>
              </a:cubicBezTo>
              <a:cubicBezTo>
                <a:pt x="243075" y="428796"/>
                <a:pt x="243288" y="422907"/>
                <a:pt x="245806" y="417871"/>
              </a:cubicBezTo>
              <a:cubicBezTo>
                <a:pt x="248860" y="411764"/>
                <a:pt x="254309" y="407165"/>
                <a:pt x="258097" y="401484"/>
              </a:cubicBezTo>
              <a:cubicBezTo>
                <a:pt x="262514" y="394859"/>
                <a:pt x="265821" y="387523"/>
                <a:pt x="270387" y="381000"/>
              </a:cubicBezTo>
              <a:cubicBezTo>
                <a:pt x="275401" y="373837"/>
                <a:pt x="282368" y="368069"/>
                <a:pt x="286774" y="360516"/>
              </a:cubicBezTo>
              <a:cubicBezTo>
                <a:pt x="292014" y="351533"/>
                <a:pt x="294133" y="340996"/>
                <a:pt x="299064" y="331839"/>
              </a:cubicBezTo>
              <a:cubicBezTo>
                <a:pt x="318529" y="295689"/>
                <a:pt x="309435" y="318254"/>
                <a:pt x="331839" y="290871"/>
              </a:cubicBezTo>
              <a:cubicBezTo>
                <a:pt x="393473" y="215542"/>
                <a:pt x="299317" y="316572"/>
                <a:pt x="389193" y="229420"/>
              </a:cubicBezTo>
              <a:cubicBezTo>
                <a:pt x="422468" y="197154"/>
                <a:pt x="448328" y="155847"/>
                <a:pt x="487516" y="131097"/>
              </a:cubicBezTo>
              <a:cubicBezTo>
                <a:pt x="513462" y="114710"/>
                <a:pt x="538485" y="96761"/>
                <a:pt x="565355" y="81936"/>
              </a:cubicBezTo>
              <a:cubicBezTo>
                <a:pt x="578233" y="74831"/>
                <a:pt x="593167" y="72126"/>
                <a:pt x="606322" y="65549"/>
              </a:cubicBezTo>
              <a:cubicBezTo>
                <a:pt x="662469" y="37475"/>
                <a:pt x="614318" y="48163"/>
                <a:pt x="671871" y="40968"/>
              </a:cubicBezTo>
              <a:cubicBezTo>
                <a:pt x="693350" y="26647"/>
                <a:pt x="688695" y="28532"/>
                <a:pt x="725129" y="16387"/>
              </a:cubicBezTo>
              <a:cubicBezTo>
                <a:pt x="731735" y="14185"/>
                <a:pt x="738858" y="13979"/>
                <a:pt x="745613" y="12290"/>
              </a:cubicBezTo>
              <a:cubicBezTo>
                <a:pt x="796610" y="-459"/>
                <a:pt x="751436" y="6636"/>
                <a:pt x="811161" y="0"/>
              </a:cubicBezTo>
              <a:lnTo>
                <a:pt x="1056968" y="8194"/>
              </a:lnTo>
              <a:cubicBezTo>
                <a:pt x="1074758" y="8925"/>
                <a:pt x="1093285" y="6809"/>
                <a:pt x="1110226" y="12290"/>
              </a:cubicBezTo>
              <a:cubicBezTo>
                <a:pt x="1140447" y="22067"/>
                <a:pt x="1167666" y="39423"/>
                <a:pt x="1196258" y="53258"/>
              </a:cubicBezTo>
              <a:cubicBezTo>
                <a:pt x="1261185" y="84675"/>
                <a:pt x="1213209" y="63449"/>
                <a:pt x="1265903" y="86032"/>
              </a:cubicBezTo>
              <a:cubicBezTo>
                <a:pt x="1274163" y="94292"/>
                <a:pt x="1290720" y="112780"/>
                <a:pt x="1302774" y="118807"/>
              </a:cubicBezTo>
              <a:cubicBezTo>
                <a:pt x="1307810" y="121325"/>
                <a:pt x="1313699" y="121538"/>
                <a:pt x="1319161" y="122903"/>
              </a:cubicBezTo>
              <a:cubicBezTo>
                <a:pt x="1323258" y="127000"/>
                <a:pt x="1326816" y="131718"/>
                <a:pt x="1331451" y="135194"/>
              </a:cubicBezTo>
              <a:cubicBezTo>
                <a:pt x="1355444" y="153189"/>
                <a:pt x="1349813" y="142781"/>
                <a:pt x="1376516" y="159774"/>
              </a:cubicBezTo>
              <a:cubicBezTo>
                <a:pt x="1428538" y="192878"/>
                <a:pt x="1366445" y="160969"/>
                <a:pt x="1417484" y="188452"/>
              </a:cubicBezTo>
              <a:cubicBezTo>
                <a:pt x="1450961" y="206478"/>
                <a:pt x="1447894" y="198320"/>
                <a:pt x="1470742" y="225323"/>
              </a:cubicBezTo>
              <a:cubicBezTo>
                <a:pt x="1479563" y="235748"/>
                <a:pt x="1486625" y="247569"/>
                <a:pt x="1495322" y="258097"/>
              </a:cubicBezTo>
              <a:cubicBezTo>
                <a:pt x="1506147" y="271201"/>
                <a:pt x="1566412" y="338102"/>
                <a:pt x="1581355" y="360516"/>
              </a:cubicBezTo>
              <a:cubicBezTo>
                <a:pt x="1642497" y="452230"/>
                <a:pt x="1611137" y="425870"/>
                <a:pt x="1655097" y="458839"/>
              </a:cubicBezTo>
              <a:cubicBezTo>
                <a:pt x="1674586" y="507565"/>
                <a:pt x="1648982" y="447630"/>
                <a:pt x="1679677" y="503903"/>
              </a:cubicBezTo>
              <a:cubicBezTo>
                <a:pt x="1683199" y="510359"/>
                <a:pt x="1685289" y="517501"/>
                <a:pt x="1687871" y="524387"/>
              </a:cubicBezTo>
              <a:cubicBezTo>
                <a:pt x="1689387" y="528431"/>
                <a:pt x="1689203" y="533360"/>
                <a:pt x="1691968" y="536678"/>
              </a:cubicBezTo>
              <a:cubicBezTo>
                <a:pt x="1696339" y="541923"/>
                <a:pt x="1702893" y="544871"/>
                <a:pt x="1708355" y="548968"/>
              </a:cubicBezTo>
              <a:cubicBezTo>
                <a:pt x="1711086" y="553065"/>
                <a:pt x="1713067" y="557777"/>
                <a:pt x="1716548" y="561258"/>
              </a:cubicBezTo>
              <a:cubicBezTo>
                <a:pt x="1722339" y="567049"/>
                <a:pt x="1738798" y="574431"/>
                <a:pt x="1745226" y="577645"/>
              </a:cubicBezTo>
              <a:cubicBezTo>
                <a:pt x="1749323" y="581742"/>
                <a:pt x="1752695" y="586722"/>
                <a:pt x="1757516" y="589936"/>
              </a:cubicBezTo>
              <a:cubicBezTo>
                <a:pt x="1761109" y="592331"/>
                <a:pt x="1766464" y="591298"/>
                <a:pt x="1769806" y="594032"/>
              </a:cubicBezTo>
              <a:cubicBezTo>
                <a:pt x="1781764" y="603816"/>
                <a:pt x="1790711" y="616916"/>
                <a:pt x="1802580" y="626807"/>
              </a:cubicBezTo>
              <a:lnTo>
                <a:pt x="1827161" y="647290"/>
              </a:lnTo>
              <a:cubicBezTo>
                <a:pt x="1831456" y="660175"/>
                <a:pt x="1830396" y="663103"/>
                <a:pt x="1843548" y="671871"/>
              </a:cubicBezTo>
              <a:cubicBezTo>
                <a:pt x="1847141" y="674267"/>
                <a:pt x="1851742" y="674602"/>
                <a:pt x="1855839" y="675968"/>
              </a:cubicBezTo>
              <a:cubicBezTo>
                <a:pt x="1874157" y="694286"/>
                <a:pt x="1864501" y="692355"/>
                <a:pt x="1880419" y="692355"/>
              </a:cubicBezTo>
            </a:path>
          </a:pathLst>
        </a:custGeom>
        <a:noFill/>
        <a:ln w="12700" cap="flat" cmpd="sng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IN" sz="1100" kern="12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0"/>
  <sheetViews>
    <sheetView tabSelected="1" topLeftCell="L1" workbookViewId="0">
      <selection activeCell="AF1" sqref="AF1"/>
    </sheetView>
  </sheetViews>
  <sheetFormatPr defaultColWidth="14.44140625" defaultRowHeight="15" customHeight="1" x14ac:dyDescent="0.3"/>
  <cols>
    <col min="1" max="1" width="4.6640625" customWidth="1"/>
    <col min="2" max="2" width="10.109375" customWidth="1"/>
    <col min="3" max="3" width="5" customWidth="1"/>
    <col min="4" max="4" width="5.88671875" customWidth="1"/>
    <col min="5" max="5" width="4.44140625" customWidth="1"/>
    <col min="6" max="6" width="4.5546875" customWidth="1"/>
    <col min="7" max="7" width="6" customWidth="1"/>
    <col min="8" max="8" width="6.109375" customWidth="1"/>
    <col min="9" max="9" width="12" customWidth="1"/>
    <col min="10" max="10" width="3.33203125" customWidth="1"/>
    <col min="11" max="11" width="5.6640625" customWidth="1"/>
    <col min="12" max="12" width="10.6640625" customWidth="1"/>
    <col min="13" max="13" width="10.33203125" customWidth="1"/>
    <col min="14" max="14" width="8.88671875" customWidth="1"/>
    <col min="15" max="15" width="7.33203125" customWidth="1"/>
    <col min="16" max="16" width="6.33203125" customWidth="1"/>
    <col min="17" max="17" width="10.6640625" customWidth="1"/>
    <col min="18" max="22" width="8.88671875" customWidth="1"/>
    <col min="23" max="27" width="8.6640625" customWidth="1"/>
    <col min="28" max="28" width="5.109375" customWidth="1"/>
    <col min="29" max="29" width="7" customWidth="1"/>
    <col min="30" max="30" width="4.6640625" customWidth="1"/>
    <col min="31" max="31" width="8.6640625" customWidth="1"/>
  </cols>
  <sheetData>
    <row r="1" spans="1:31" ht="57" customHeight="1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K1" s="1" t="s">
        <v>9</v>
      </c>
      <c r="L1" s="2" t="s">
        <v>10</v>
      </c>
      <c r="M1" s="2" t="s">
        <v>11</v>
      </c>
      <c r="N1" t="s">
        <v>12</v>
      </c>
      <c r="O1" s="1" t="s">
        <v>13</v>
      </c>
      <c r="P1" s="1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13</v>
      </c>
      <c r="AD1" s="1" t="s">
        <v>27</v>
      </c>
      <c r="AE1" s="1" t="s">
        <v>28</v>
      </c>
    </row>
    <row r="2" spans="1:31" ht="14.4" x14ac:dyDescent="0.3">
      <c r="A2">
        <v>1</v>
      </c>
      <c r="B2" t="s">
        <v>29</v>
      </c>
      <c r="C2">
        <v>971</v>
      </c>
      <c r="D2">
        <v>800</v>
      </c>
      <c r="E2">
        <v>823</v>
      </c>
      <c r="F2">
        <v>845</v>
      </c>
      <c r="G2">
        <v>562</v>
      </c>
      <c r="H2">
        <v>820</v>
      </c>
      <c r="I2">
        <f>(C2-L2)/Q2</f>
        <v>1.2571228248132709</v>
      </c>
      <c r="K2">
        <f>SUM(C2,D2,E2,F2,G2,H2)</f>
        <v>4821</v>
      </c>
      <c r="L2">
        <f t="shared" ref="L2:L31" si="0">AVERAGE(C2:H2)</f>
        <v>803.5</v>
      </c>
      <c r="M2">
        <f t="shared" ref="M2:M31" si="1">GEOMEAN(C2:H2)</f>
        <v>793.14511698952811</v>
      </c>
      <c r="N2">
        <f t="shared" ref="N2:N31" si="2">HARMEAN(C2:H2)</f>
        <v>781.5312164573744</v>
      </c>
      <c r="O2">
        <f t="shared" ref="O2:O31" si="3">MEDIAN(C2:H2)</f>
        <v>821.5</v>
      </c>
      <c r="P2" t="e">
        <f t="shared" ref="P2:P31" si="4">MODE(C2:H2)</f>
        <v>#N/A</v>
      </c>
      <c r="Q2">
        <f t="shared" ref="Q2:Q31" si="5">_xlfn.STDEV.S(C2:H2)</f>
        <v>133.24075952950733</v>
      </c>
      <c r="R2">
        <f t="shared" ref="R2:R31" si="6">_xlfn.STDEV.P(C2:H2)</f>
        <v>121.63161595572099</v>
      </c>
      <c r="S2">
        <f t="shared" ref="S2:S31" si="7">_xlfn.VAR.S(C2:H2)</f>
        <v>17753.099999999999</v>
      </c>
      <c r="T2">
        <f t="shared" ref="T2:T31" si="8">_xlfn.VAR.P(C2:H2)</f>
        <v>14794.25</v>
      </c>
      <c r="U2">
        <f t="shared" ref="U2:U31" si="9">SKEW(C2:H2)</f>
        <v>-1.1797480790387587</v>
      </c>
      <c r="V2">
        <f t="shared" ref="V2:V31" si="10">KURT(C2:H2)</f>
        <v>3.0600621249940811</v>
      </c>
      <c r="W2">
        <f t="shared" ref="W2:W31" si="11">QUARTILE(C2:H2,0)</f>
        <v>562</v>
      </c>
      <c r="X2">
        <f t="shared" ref="X2:X31" si="12">QUARTILE(C2:H2,1)</f>
        <v>805</v>
      </c>
      <c r="Y2">
        <f t="shared" ref="Y2:Y31" si="13">QUARTILE(C2:H2,2)</f>
        <v>821.5</v>
      </c>
      <c r="Z2">
        <f t="shared" ref="Z2:Z31" si="14">QUARTILE(C2:H2,3)</f>
        <v>839.5</v>
      </c>
      <c r="AA2">
        <f t="shared" ref="AA2:AA31" si="15">QUARTILE(C2:H2,4)</f>
        <v>971</v>
      </c>
      <c r="AB2">
        <f t="shared" ref="AB2:AB31" si="16">MIN(C2:H2)</f>
        <v>562</v>
      </c>
      <c r="AC2">
        <f t="shared" ref="AC2:AC31" si="17">MEDIAN(C2:H2)</f>
        <v>821.5</v>
      </c>
      <c r="AD2">
        <f t="shared" ref="AD2:AD31" si="18">MAX(C2:H2)</f>
        <v>971</v>
      </c>
      <c r="AE2">
        <f t="shared" ref="AE2:AE31" si="19">AD2-AB2</f>
        <v>409</v>
      </c>
    </row>
    <row r="3" spans="1:31" ht="14.4" x14ac:dyDescent="0.3">
      <c r="A3">
        <v>2</v>
      </c>
      <c r="B3" t="s">
        <v>30</v>
      </c>
      <c r="C3">
        <v>698</v>
      </c>
      <c r="D3">
        <v>500</v>
      </c>
      <c r="E3">
        <v>540</v>
      </c>
      <c r="F3">
        <v>540</v>
      </c>
      <c r="G3">
        <v>510</v>
      </c>
      <c r="H3">
        <v>747</v>
      </c>
      <c r="I3">
        <f>(C3-M3)/Q3</f>
        <v>1.1001585534736442</v>
      </c>
      <c r="K3">
        <f>SUM(C3:H3)</f>
        <v>3535</v>
      </c>
      <c r="L3">
        <f t="shared" si="0"/>
        <v>589.16666666666663</v>
      </c>
      <c r="M3">
        <f t="shared" si="1"/>
        <v>581.76906019310525</v>
      </c>
      <c r="N3">
        <f t="shared" si="2"/>
        <v>574.94169188178341</v>
      </c>
      <c r="O3">
        <f t="shared" si="3"/>
        <v>540</v>
      </c>
      <c r="P3">
        <f t="shared" si="4"/>
        <v>540</v>
      </c>
      <c r="Q3">
        <f t="shared" si="5"/>
        <v>105.64926249939775</v>
      </c>
      <c r="R3">
        <f t="shared" si="6"/>
        <v>96.444140424508021</v>
      </c>
      <c r="S3">
        <f t="shared" si="7"/>
        <v>11161.766666666652</v>
      </c>
      <c r="T3">
        <f t="shared" si="8"/>
        <v>9301.4722222222226</v>
      </c>
      <c r="U3">
        <f t="shared" si="9"/>
        <v>0.9611669004215283</v>
      </c>
      <c r="V3">
        <f t="shared" si="10"/>
        <v>-1.3333795770242052</v>
      </c>
      <c r="W3">
        <f t="shared" si="11"/>
        <v>500</v>
      </c>
      <c r="X3">
        <f t="shared" si="12"/>
        <v>517.5</v>
      </c>
      <c r="Y3">
        <f t="shared" si="13"/>
        <v>540</v>
      </c>
      <c r="Z3">
        <f t="shared" si="14"/>
        <v>658.5</v>
      </c>
      <c r="AA3">
        <f t="shared" si="15"/>
        <v>747</v>
      </c>
      <c r="AB3">
        <f t="shared" si="16"/>
        <v>500</v>
      </c>
      <c r="AC3">
        <f t="shared" si="17"/>
        <v>540</v>
      </c>
      <c r="AD3">
        <f t="shared" si="18"/>
        <v>747</v>
      </c>
      <c r="AE3">
        <f t="shared" si="19"/>
        <v>247</v>
      </c>
    </row>
    <row r="4" spans="1:31" ht="14.4" x14ac:dyDescent="0.3">
      <c r="A4">
        <v>3</v>
      </c>
      <c r="B4" t="s">
        <v>31</v>
      </c>
      <c r="C4">
        <v>724</v>
      </c>
      <c r="D4">
        <v>592</v>
      </c>
      <c r="E4">
        <v>855</v>
      </c>
      <c r="F4">
        <v>958</v>
      </c>
      <c r="G4">
        <v>858</v>
      </c>
      <c r="H4">
        <v>504</v>
      </c>
      <c r="I4">
        <f t="shared" ref="I4:I31" si="20">(M2)</f>
        <v>793.14511698952811</v>
      </c>
      <c r="K4">
        <f>SUM(C4,D4:H4)</f>
        <v>4491</v>
      </c>
      <c r="L4">
        <f t="shared" si="0"/>
        <v>748.5</v>
      </c>
      <c r="M4">
        <f t="shared" si="1"/>
        <v>730.38462110931846</v>
      </c>
      <c r="N4">
        <f t="shared" si="2"/>
        <v>711.45136085275374</v>
      </c>
      <c r="O4">
        <f t="shared" si="3"/>
        <v>789.5</v>
      </c>
      <c r="P4" t="e">
        <f t="shared" si="4"/>
        <v>#N/A</v>
      </c>
      <c r="Q4">
        <f t="shared" si="5"/>
        <v>174.41072214746433</v>
      </c>
      <c r="R4">
        <f t="shared" si="6"/>
        <v>159.2144779848868</v>
      </c>
      <c r="S4">
        <f t="shared" si="7"/>
        <v>30419.1</v>
      </c>
      <c r="T4">
        <f t="shared" si="8"/>
        <v>25349.25</v>
      </c>
      <c r="U4">
        <f t="shared" si="9"/>
        <v>-0.38157932249591681</v>
      </c>
      <c r="V4">
        <f t="shared" si="10"/>
        <v>-1.429110963433188</v>
      </c>
      <c r="W4">
        <f t="shared" si="11"/>
        <v>504</v>
      </c>
      <c r="X4">
        <f t="shared" si="12"/>
        <v>625</v>
      </c>
      <c r="Y4">
        <f t="shared" si="13"/>
        <v>789.5</v>
      </c>
      <c r="Z4">
        <f t="shared" si="14"/>
        <v>857.25</v>
      </c>
      <c r="AA4">
        <f t="shared" si="15"/>
        <v>958</v>
      </c>
      <c r="AB4">
        <f t="shared" si="16"/>
        <v>504</v>
      </c>
      <c r="AC4">
        <f t="shared" si="17"/>
        <v>789.5</v>
      </c>
      <c r="AD4">
        <f t="shared" si="18"/>
        <v>958</v>
      </c>
      <c r="AE4">
        <f t="shared" si="19"/>
        <v>454</v>
      </c>
    </row>
    <row r="5" spans="1:31" ht="14.4" x14ac:dyDescent="0.3">
      <c r="A5">
        <v>4</v>
      </c>
      <c r="B5" t="s">
        <v>32</v>
      </c>
      <c r="C5">
        <v>887</v>
      </c>
      <c r="D5">
        <v>881</v>
      </c>
      <c r="E5">
        <v>501</v>
      </c>
      <c r="F5">
        <v>834</v>
      </c>
      <c r="G5">
        <v>849</v>
      </c>
      <c r="H5">
        <v>569</v>
      </c>
      <c r="I5">
        <f t="shared" si="20"/>
        <v>581.76906019310525</v>
      </c>
      <c r="K5">
        <f>SUM(C5:F5,G5:H5)</f>
        <v>4521</v>
      </c>
      <c r="L5">
        <f t="shared" si="0"/>
        <v>753.5</v>
      </c>
      <c r="M5">
        <f t="shared" si="1"/>
        <v>735.05619741241981</v>
      </c>
      <c r="N5">
        <f t="shared" si="2"/>
        <v>714.89475415409413</v>
      </c>
      <c r="O5">
        <f t="shared" si="3"/>
        <v>841.5</v>
      </c>
      <c r="P5" t="e">
        <f t="shared" si="4"/>
        <v>#N/A</v>
      </c>
      <c r="Q5">
        <f t="shared" si="5"/>
        <v>171.74137532930146</v>
      </c>
      <c r="R5">
        <f t="shared" si="6"/>
        <v>156.77770887469941</v>
      </c>
      <c r="S5">
        <f t="shared" si="7"/>
        <v>29495.1</v>
      </c>
      <c r="T5">
        <f t="shared" si="8"/>
        <v>24579.25</v>
      </c>
      <c r="U5">
        <f t="shared" si="9"/>
        <v>-0.9792240576146849</v>
      </c>
      <c r="V5">
        <f t="shared" si="10"/>
        <v>-1.4779831073024372</v>
      </c>
      <c r="W5">
        <f t="shared" si="11"/>
        <v>501</v>
      </c>
      <c r="X5">
        <f t="shared" si="12"/>
        <v>635.25</v>
      </c>
      <c r="Y5">
        <f t="shared" si="13"/>
        <v>841.5</v>
      </c>
      <c r="Z5">
        <f t="shared" si="14"/>
        <v>873</v>
      </c>
      <c r="AA5">
        <f t="shared" si="15"/>
        <v>887</v>
      </c>
      <c r="AB5">
        <f t="shared" si="16"/>
        <v>501</v>
      </c>
      <c r="AC5">
        <f t="shared" si="17"/>
        <v>841.5</v>
      </c>
      <c r="AD5">
        <f t="shared" si="18"/>
        <v>887</v>
      </c>
      <c r="AE5">
        <f t="shared" si="19"/>
        <v>386</v>
      </c>
    </row>
    <row r="6" spans="1:31" ht="14.4" x14ac:dyDescent="0.3">
      <c r="A6">
        <v>5</v>
      </c>
      <c r="B6" t="s">
        <v>33</v>
      </c>
      <c r="C6">
        <v>526</v>
      </c>
      <c r="D6">
        <v>589</v>
      </c>
      <c r="E6">
        <v>537</v>
      </c>
      <c r="F6">
        <v>936</v>
      </c>
      <c r="G6">
        <v>878</v>
      </c>
      <c r="H6">
        <v>794</v>
      </c>
      <c r="I6">
        <f t="shared" si="20"/>
        <v>730.38462110931846</v>
      </c>
      <c r="K6">
        <f>SUM(C6:H6)</f>
        <v>4260</v>
      </c>
      <c r="L6">
        <f t="shared" si="0"/>
        <v>710</v>
      </c>
      <c r="M6">
        <f t="shared" si="1"/>
        <v>690.68130135661079</v>
      </c>
      <c r="N6">
        <f t="shared" si="2"/>
        <v>672.0501601064376</v>
      </c>
      <c r="O6">
        <f t="shared" si="3"/>
        <v>691.5</v>
      </c>
      <c r="P6" t="e">
        <f t="shared" si="4"/>
        <v>#N/A</v>
      </c>
      <c r="Q6">
        <f t="shared" si="5"/>
        <v>181.53897653121217</v>
      </c>
      <c r="R6">
        <f t="shared" si="6"/>
        <v>165.72165418757643</v>
      </c>
      <c r="S6">
        <f t="shared" si="7"/>
        <v>32956.400000000001</v>
      </c>
      <c r="T6">
        <f t="shared" si="8"/>
        <v>27463.666666666668</v>
      </c>
      <c r="U6">
        <f t="shared" si="9"/>
        <v>0.18546597053536126</v>
      </c>
      <c r="V6">
        <f t="shared" si="10"/>
        <v>-2.5689938585609098</v>
      </c>
      <c r="W6">
        <f t="shared" si="11"/>
        <v>526</v>
      </c>
      <c r="X6">
        <f t="shared" si="12"/>
        <v>550</v>
      </c>
      <c r="Y6">
        <f t="shared" si="13"/>
        <v>691.5</v>
      </c>
      <c r="Z6">
        <f t="shared" si="14"/>
        <v>857</v>
      </c>
      <c r="AA6">
        <f t="shared" si="15"/>
        <v>936</v>
      </c>
      <c r="AB6">
        <f t="shared" si="16"/>
        <v>526</v>
      </c>
      <c r="AC6">
        <f t="shared" si="17"/>
        <v>691.5</v>
      </c>
      <c r="AD6">
        <f t="shared" si="18"/>
        <v>936</v>
      </c>
      <c r="AE6">
        <f t="shared" si="19"/>
        <v>410</v>
      </c>
    </row>
    <row r="7" spans="1:31" ht="14.4" x14ac:dyDescent="0.3">
      <c r="A7">
        <v>6</v>
      </c>
      <c r="B7" t="s">
        <v>34</v>
      </c>
      <c r="C7">
        <v>883</v>
      </c>
      <c r="D7">
        <v>562</v>
      </c>
      <c r="E7">
        <v>802</v>
      </c>
      <c r="F7">
        <v>909</v>
      </c>
      <c r="G7">
        <v>597</v>
      </c>
      <c r="H7">
        <v>693</v>
      </c>
      <c r="I7">
        <f t="shared" si="20"/>
        <v>735.05619741241981</v>
      </c>
      <c r="K7">
        <f t="shared" ref="K7:K31" si="21">SUM(C8:H8)</f>
        <v>4506</v>
      </c>
      <c r="L7">
        <f t="shared" si="0"/>
        <v>741</v>
      </c>
      <c r="M7">
        <f t="shared" si="1"/>
        <v>728.65811517154623</v>
      </c>
      <c r="N7">
        <f t="shared" si="2"/>
        <v>716.25555477606304</v>
      </c>
      <c r="O7">
        <f t="shared" si="3"/>
        <v>747.5</v>
      </c>
      <c r="P7" t="e">
        <f t="shared" si="4"/>
        <v>#N/A</v>
      </c>
      <c r="Q7">
        <f t="shared" si="5"/>
        <v>146.41721210294915</v>
      </c>
      <c r="R7">
        <f t="shared" si="6"/>
        <v>133.66001645967279</v>
      </c>
      <c r="S7">
        <f t="shared" si="7"/>
        <v>21438</v>
      </c>
      <c r="T7">
        <f t="shared" si="8"/>
        <v>17865</v>
      </c>
      <c r="U7">
        <f t="shared" si="9"/>
        <v>-9.557645868278393E-2</v>
      </c>
      <c r="V7">
        <f t="shared" si="10"/>
        <v>-2.1696921357215011</v>
      </c>
      <c r="W7">
        <f t="shared" si="11"/>
        <v>562</v>
      </c>
      <c r="X7">
        <f t="shared" si="12"/>
        <v>621</v>
      </c>
      <c r="Y7">
        <f t="shared" si="13"/>
        <v>747.5</v>
      </c>
      <c r="Z7">
        <f t="shared" si="14"/>
        <v>862.75</v>
      </c>
      <c r="AA7">
        <f t="shared" si="15"/>
        <v>909</v>
      </c>
      <c r="AB7">
        <f t="shared" si="16"/>
        <v>562</v>
      </c>
      <c r="AC7">
        <f t="shared" si="17"/>
        <v>747.5</v>
      </c>
      <c r="AD7">
        <f t="shared" si="18"/>
        <v>909</v>
      </c>
      <c r="AE7">
        <f t="shared" si="19"/>
        <v>347</v>
      </c>
    </row>
    <row r="8" spans="1:31" ht="14.4" x14ac:dyDescent="0.3">
      <c r="A8">
        <v>7</v>
      </c>
      <c r="B8" t="s">
        <v>35</v>
      </c>
      <c r="C8">
        <v>585</v>
      </c>
      <c r="D8">
        <v>688</v>
      </c>
      <c r="E8">
        <v>781</v>
      </c>
      <c r="F8">
        <v>534</v>
      </c>
      <c r="G8">
        <v>935</v>
      </c>
      <c r="H8">
        <v>983</v>
      </c>
      <c r="I8">
        <f t="shared" si="20"/>
        <v>690.68130135661079</v>
      </c>
      <c r="K8">
        <f t="shared" si="21"/>
        <v>4883</v>
      </c>
      <c r="L8">
        <f t="shared" si="0"/>
        <v>751</v>
      </c>
      <c r="M8">
        <f t="shared" si="1"/>
        <v>732.34707949350536</v>
      </c>
      <c r="N8">
        <f t="shared" si="2"/>
        <v>714.05010298306388</v>
      </c>
      <c r="O8">
        <f t="shared" si="3"/>
        <v>734.5</v>
      </c>
      <c r="P8" t="e">
        <f t="shared" si="4"/>
        <v>#N/A</v>
      </c>
      <c r="Q8">
        <f t="shared" si="5"/>
        <v>182.86279009136879</v>
      </c>
      <c r="R8">
        <f t="shared" si="6"/>
        <v>166.93012510229144</v>
      </c>
      <c r="S8">
        <f t="shared" si="7"/>
        <v>33438.800000000003</v>
      </c>
      <c r="T8">
        <f t="shared" si="8"/>
        <v>27865.666666666668</v>
      </c>
      <c r="U8">
        <f t="shared" si="9"/>
        <v>0.18157923902641818</v>
      </c>
      <c r="V8">
        <f t="shared" si="10"/>
        <v>-1.8449108133627616</v>
      </c>
      <c r="W8">
        <f t="shared" si="11"/>
        <v>534</v>
      </c>
      <c r="X8">
        <f t="shared" si="12"/>
        <v>610.75</v>
      </c>
      <c r="Y8">
        <f t="shared" si="13"/>
        <v>734.5</v>
      </c>
      <c r="Z8">
        <f t="shared" si="14"/>
        <v>896.5</v>
      </c>
      <c r="AA8">
        <f t="shared" si="15"/>
        <v>983</v>
      </c>
      <c r="AB8">
        <f t="shared" si="16"/>
        <v>534</v>
      </c>
      <c r="AC8">
        <f t="shared" si="17"/>
        <v>734.5</v>
      </c>
      <c r="AD8">
        <f t="shared" si="18"/>
        <v>983</v>
      </c>
      <c r="AE8">
        <f t="shared" si="19"/>
        <v>449</v>
      </c>
    </row>
    <row r="9" spans="1:31" ht="14.4" x14ac:dyDescent="0.3">
      <c r="A9">
        <v>8</v>
      </c>
      <c r="B9" t="s">
        <v>36</v>
      </c>
      <c r="C9">
        <v>534</v>
      </c>
      <c r="D9">
        <v>900</v>
      </c>
      <c r="E9">
        <v>876</v>
      </c>
      <c r="F9">
        <v>947</v>
      </c>
      <c r="G9">
        <v>796</v>
      </c>
      <c r="H9">
        <v>830</v>
      </c>
      <c r="I9">
        <f t="shared" si="20"/>
        <v>728.65811517154623</v>
      </c>
      <c r="K9">
        <f t="shared" si="21"/>
        <v>4696</v>
      </c>
      <c r="L9">
        <f t="shared" si="0"/>
        <v>813.83333333333337</v>
      </c>
      <c r="M9">
        <f t="shared" si="1"/>
        <v>800.64163144057693</v>
      </c>
      <c r="N9">
        <f t="shared" si="2"/>
        <v>785.09474679788798</v>
      </c>
      <c r="O9">
        <f t="shared" si="3"/>
        <v>853</v>
      </c>
      <c r="P9" t="e">
        <f t="shared" si="4"/>
        <v>#N/A</v>
      </c>
      <c r="Q9">
        <f t="shared" si="5"/>
        <v>146.90734041111321</v>
      </c>
      <c r="R9">
        <f t="shared" si="6"/>
        <v>134.10744034376151</v>
      </c>
      <c r="S9">
        <f t="shared" si="7"/>
        <v>21581.766666666699</v>
      </c>
      <c r="T9">
        <f t="shared" si="8"/>
        <v>17984.805555555555</v>
      </c>
      <c r="U9">
        <f t="shared" si="9"/>
        <v>-1.7668484250168641</v>
      </c>
      <c r="V9">
        <f t="shared" si="10"/>
        <v>3.5437251171119488</v>
      </c>
      <c r="W9">
        <f t="shared" si="11"/>
        <v>534</v>
      </c>
      <c r="X9">
        <f t="shared" si="12"/>
        <v>804.5</v>
      </c>
      <c r="Y9">
        <f t="shared" si="13"/>
        <v>853</v>
      </c>
      <c r="Z9">
        <f t="shared" si="14"/>
        <v>894</v>
      </c>
      <c r="AA9">
        <f t="shared" si="15"/>
        <v>947</v>
      </c>
      <c r="AB9">
        <f t="shared" si="16"/>
        <v>534</v>
      </c>
      <c r="AC9">
        <f t="shared" si="17"/>
        <v>853</v>
      </c>
      <c r="AD9">
        <f t="shared" si="18"/>
        <v>947</v>
      </c>
      <c r="AE9">
        <f t="shared" si="19"/>
        <v>413</v>
      </c>
    </row>
    <row r="10" spans="1:31" ht="14.4" x14ac:dyDescent="0.3">
      <c r="A10">
        <v>9</v>
      </c>
      <c r="B10" t="s">
        <v>37</v>
      </c>
      <c r="C10">
        <v>812</v>
      </c>
      <c r="D10">
        <v>770</v>
      </c>
      <c r="E10">
        <v>901</v>
      </c>
      <c r="F10">
        <v>965</v>
      </c>
      <c r="G10">
        <v>685</v>
      </c>
      <c r="H10">
        <v>563</v>
      </c>
      <c r="I10">
        <f t="shared" si="20"/>
        <v>732.34707949350536</v>
      </c>
      <c r="K10">
        <f t="shared" si="21"/>
        <v>4032</v>
      </c>
      <c r="L10">
        <f t="shared" si="0"/>
        <v>782.66666666666663</v>
      </c>
      <c r="M10">
        <f t="shared" si="1"/>
        <v>770.75491736999606</v>
      </c>
      <c r="N10">
        <f t="shared" si="2"/>
        <v>758.30067342457642</v>
      </c>
      <c r="O10">
        <f t="shared" si="3"/>
        <v>791</v>
      </c>
      <c r="P10" t="e">
        <f t="shared" si="4"/>
        <v>#N/A</v>
      </c>
      <c r="Q10">
        <f t="shared" si="5"/>
        <v>145.64431560025506</v>
      </c>
      <c r="R10">
        <f t="shared" si="6"/>
        <v>132.954461711102</v>
      </c>
      <c r="S10">
        <f t="shared" si="7"/>
        <v>21212.266666666699</v>
      </c>
      <c r="T10">
        <f t="shared" si="8"/>
        <v>17676.888888888891</v>
      </c>
      <c r="U10">
        <f t="shared" si="9"/>
        <v>-0.36796290043223984</v>
      </c>
      <c r="V10">
        <f t="shared" si="10"/>
        <v>-0.46050945177117608</v>
      </c>
      <c r="W10">
        <f t="shared" si="11"/>
        <v>563</v>
      </c>
      <c r="X10">
        <f t="shared" si="12"/>
        <v>706.25</v>
      </c>
      <c r="Y10">
        <f t="shared" si="13"/>
        <v>791</v>
      </c>
      <c r="Z10">
        <f t="shared" si="14"/>
        <v>878.75</v>
      </c>
      <c r="AA10">
        <f t="shared" si="15"/>
        <v>965</v>
      </c>
      <c r="AB10">
        <f t="shared" si="16"/>
        <v>563</v>
      </c>
      <c r="AC10">
        <f t="shared" si="17"/>
        <v>791</v>
      </c>
      <c r="AD10">
        <f t="shared" si="18"/>
        <v>965</v>
      </c>
      <c r="AE10">
        <f t="shared" si="19"/>
        <v>402</v>
      </c>
    </row>
    <row r="11" spans="1:31" ht="14.4" x14ac:dyDescent="0.3">
      <c r="A11">
        <v>10</v>
      </c>
      <c r="B11" t="s">
        <v>38</v>
      </c>
      <c r="C11">
        <v>500</v>
      </c>
      <c r="D11">
        <v>504</v>
      </c>
      <c r="E11">
        <v>673</v>
      </c>
      <c r="F11">
        <v>848</v>
      </c>
      <c r="G11">
        <v>855</v>
      </c>
      <c r="H11">
        <v>652</v>
      </c>
      <c r="I11">
        <f t="shared" si="20"/>
        <v>800.64163144057693</v>
      </c>
      <c r="K11">
        <f t="shared" si="21"/>
        <v>4713</v>
      </c>
      <c r="L11">
        <f t="shared" si="0"/>
        <v>672</v>
      </c>
      <c r="M11">
        <f t="shared" si="1"/>
        <v>656.65541197910511</v>
      </c>
      <c r="N11">
        <f t="shared" si="2"/>
        <v>641.53356681394894</v>
      </c>
      <c r="O11">
        <f t="shared" si="3"/>
        <v>662.5</v>
      </c>
      <c r="P11" t="e">
        <f t="shared" si="4"/>
        <v>#N/A</v>
      </c>
      <c r="Q11">
        <f t="shared" si="5"/>
        <v>156.63588350055679</v>
      </c>
      <c r="R11">
        <f t="shared" si="6"/>
        <v>142.98834451334369</v>
      </c>
      <c r="S11">
        <f t="shared" si="7"/>
        <v>24534.799999999999</v>
      </c>
      <c r="T11">
        <f t="shared" si="8"/>
        <v>20445.666666666668</v>
      </c>
      <c r="U11">
        <f t="shared" si="9"/>
        <v>0.13600080922258037</v>
      </c>
      <c r="V11">
        <f t="shared" si="10"/>
        <v>-1.8857387298838333</v>
      </c>
      <c r="W11">
        <f t="shared" si="11"/>
        <v>500</v>
      </c>
      <c r="X11">
        <f t="shared" si="12"/>
        <v>541</v>
      </c>
      <c r="Y11">
        <f t="shared" si="13"/>
        <v>662.5</v>
      </c>
      <c r="Z11">
        <f t="shared" si="14"/>
        <v>804.25</v>
      </c>
      <c r="AA11">
        <f t="shared" si="15"/>
        <v>855</v>
      </c>
      <c r="AB11">
        <f t="shared" si="16"/>
        <v>500</v>
      </c>
      <c r="AC11">
        <f t="shared" si="17"/>
        <v>662.5</v>
      </c>
      <c r="AD11">
        <f t="shared" si="18"/>
        <v>855</v>
      </c>
      <c r="AE11">
        <f t="shared" si="19"/>
        <v>355</v>
      </c>
    </row>
    <row r="12" spans="1:31" ht="14.4" x14ac:dyDescent="0.3">
      <c r="A12">
        <v>11</v>
      </c>
      <c r="B12" t="s">
        <v>39</v>
      </c>
      <c r="C12">
        <v>759</v>
      </c>
      <c r="D12">
        <v>865</v>
      </c>
      <c r="E12">
        <v>838</v>
      </c>
      <c r="F12">
        <v>514</v>
      </c>
      <c r="G12">
        <v>900</v>
      </c>
      <c r="H12">
        <v>837</v>
      </c>
      <c r="I12">
        <f t="shared" si="20"/>
        <v>770.75491736999606</v>
      </c>
      <c r="K12">
        <f t="shared" si="21"/>
        <v>4613</v>
      </c>
      <c r="L12">
        <f t="shared" si="0"/>
        <v>785.5</v>
      </c>
      <c r="M12">
        <f t="shared" si="1"/>
        <v>772.80898857777731</v>
      </c>
      <c r="N12">
        <f t="shared" si="2"/>
        <v>757.73942006591221</v>
      </c>
      <c r="O12">
        <f t="shared" si="3"/>
        <v>837.5</v>
      </c>
      <c r="P12" t="e">
        <f t="shared" si="4"/>
        <v>#N/A</v>
      </c>
      <c r="Q12">
        <f t="shared" si="5"/>
        <v>140.89251222119648</v>
      </c>
      <c r="R12">
        <f t="shared" si="6"/>
        <v>128.61667854520269</v>
      </c>
      <c r="S12">
        <f t="shared" si="7"/>
        <v>19850.7</v>
      </c>
      <c r="T12">
        <f t="shared" si="8"/>
        <v>16542.25</v>
      </c>
      <c r="U12">
        <f t="shared" si="9"/>
        <v>-1.903587621835469</v>
      </c>
      <c r="V12">
        <f t="shared" si="10"/>
        <v>3.8053438372939166</v>
      </c>
      <c r="W12">
        <f t="shared" si="11"/>
        <v>514</v>
      </c>
      <c r="X12">
        <f t="shared" si="12"/>
        <v>778.5</v>
      </c>
      <c r="Y12">
        <f t="shared" si="13"/>
        <v>837.5</v>
      </c>
      <c r="Z12">
        <f t="shared" si="14"/>
        <v>858.25</v>
      </c>
      <c r="AA12">
        <f t="shared" si="15"/>
        <v>900</v>
      </c>
      <c r="AB12">
        <f t="shared" si="16"/>
        <v>514</v>
      </c>
      <c r="AC12">
        <f t="shared" si="17"/>
        <v>837.5</v>
      </c>
      <c r="AD12">
        <f t="shared" si="18"/>
        <v>900</v>
      </c>
      <c r="AE12">
        <f t="shared" si="19"/>
        <v>386</v>
      </c>
    </row>
    <row r="13" spans="1:31" ht="14.4" x14ac:dyDescent="0.3">
      <c r="A13">
        <v>12</v>
      </c>
      <c r="B13" t="s">
        <v>40</v>
      </c>
      <c r="C13">
        <v>608</v>
      </c>
      <c r="D13">
        <v>875</v>
      </c>
      <c r="E13">
        <v>971</v>
      </c>
      <c r="F13">
        <v>921</v>
      </c>
      <c r="G13">
        <v>571</v>
      </c>
      <c r="H13">
        <v>667</v>
      </c>
      <c r="I13">
        <f t="shared" si="20"/>
        <v>656.65541197910511</v>
      </c>
      <c r="K13">
        <f t="shared" si="21"/>
        <v>4052</v>
      </c>
      <c r="L13">
        <f t="shared" si="0"/>
        <v>768.83333333333337</v>
      </c>
      <c r="M13">
        <f t="shared" si="1"/>
        <v>752.24401153474423</v>
      </c>
      <c r="N13">
        <f t="shared" si="2"/>
        <v>735.85319542531249</v>
      </c>
      <c r="O13">
        <f t="shared" si="3"/>
        <v>771</v>
      </c>
      <c r="P13" t="e">
        <f t="shared" si="4"/>
        <v>#N/A</v>
      </c>
      <c r="Q13">
        <f t="shared" si="5"/>
        <v>173.59310662197015</v>
      </c>
      <c r="R13">
        <f t="shared" si="6"/>
        <v>158.46810054042072</v>
      </c>
      <c r="S13">
        <f t="shared" si="7"/>
        <v>30134.566666666698</v>
      </c>
      <c r="T13">
        <f t="shared" si="8"/>
        <v>25112.138888888891</v>
      </c>
      <c r="U13">
        <f t="shared" si="9"/>
        <v>1.3584449304099272E-3</v>
      </c>
      <c r="V13">
        <f t="shared" si="10"/>
        <v>-2.6716556370861624</v>
      </c>
      <c r="W13">
        <f t="shared" si="11"/>
        <v>571</v>
      </c>
      <c r="X13">
        <f t="shared" si="12"/>
        <v>622.75</v>
      </c>
      <c r="Y13">
        <f t="shared" si="13"/>
        <v>771</v>
      </c>
      <c r="Z13">
        <f t="shared" si="14"/>
        <v>909.5</v>
      </c>
      <c r="AA13">
        <f t="shared" si="15"/>
        <v>971</v>
      </c>
      <c r="AB13">
        <f t="shared" si="16"/>
        <v>571</v>
      </c>
      <c r="AC13">
        <f t="shared" si="17"/>
        <v>771</v>
      </c>
      <c r="AD13">
        <f t="shared" si="18"/>
        <v>971</v>
      </c>
      <c r="AE13">
        <f t="shared" si="19"/>
        <v>400</v>
      </c>
    </row>
    <row r="14" spans="1:31" ht="14.4" x14ac:dyDescent="0.3">
      <c r="A14">
        <v>13</v>
      </c>
      <c r="B14" t="s">
        <v>41</v>
      </c>
      <c r="C14">
        <v>559</v>
      </c>
      <c r="D14">
        <v>713</v>
      </c>
      <c r="E14">
        <v>571</v>
      </c>
      <c r="F14">
        <v>813</v>
      </c>
      <c r="G14">
        <v>518</v>
      </c>
      <c r="H14">
        <v>878</v>
      </c>
      <c r="I14">
        <f t="shared" si="20"/>
        <v>772.80898857777731</v>
      </c>
      <c r="K14">
        <f t="shared" si="21"/>
        <v>4077</v>
      </c>
      <c r="L14">
        <f t="shared" si="0"/>
        <v>675.33333333333337</v>
      </c>
      <c r="M14">
        <f t="shared" si="1"/>
        <v>661.97569545221688</v>
      </c>
      <c r="N14">
        <f t="shared" si="2"/>
        <v>649.19515238670147</v>
      </c>
      <c r="O14">
        <f t="shared" si="3"/>
        <v>642</v>
      </c>
      <c r="P14" t="e">
        <f t="shared" si="4"/>
        <v>#N/A</v>
      </c>
      <c r="Q14">
        <f t="shared" si="5"/>
        <v>148.73959347351564</v>
      </c>
      <c r="R14">
        <f t="shared" si="6"/>
        <v>135.78005089932108</v>
      </c>
      <c r="S14">
        <f t="shared" si="7"/>
        <v>22123.466666666696</v>
      </c>
      <c r="T14">
        <f t="shared" si="8"/>
        <v>18436.222222222223</v>
      </c>
      <c r="U14">
        <f t="shared" si="9"/>
        <v>0.39950646554833946</v>
      </c>
      <c r="V14">
        <f t="shared" si="10"/>
        <v>-2.0128716764538321</v>
      </c>
      <c r="W14">
        <f t="shared" si="11"/>
        <v>518</v>
      </c>
      <c r="X14">
        <f t="shared" si="12"/>
        <v>562</v>
      </c>
      <c r="Y14">
        <f t="shared" si="13"/>
        <v>642</v>
      </c>
      <c r="Z14">
        <f t="shared" si="14"/>
        <v>788</v>
      </c>
      <c r="AA14">
        <f t="shared" si="15"/>
        <v>878</v>
      </c>
      <c r="AB14">
        <f t="shared" si="16"/>
        <v>518</v>
      </c>
      <c r="AC14">
        <f t="shared" si="17"/>
        <v>642</v>
      </c>
      <c r="AD14">
        <f t="shared" si="18"/>
        <v>878</v>
      </c>
      <c r="AE14">
        <f t="shared" si="19"/>
        <v>360</v>
      </c>
    </row>
    <row r="15" spans="1:31" ht="14.4" x14ac:dyDescent="0.3">
      <c r="A15">
        <v>14</v>
      </c>
      <c r="B15" t="s">
        <v>42</v>
      </c>
      <c r="C15">
        <v>801</v>
      </c>
      <c r="D15">
        <v>717</v>
      </c>
      <c r="E15">
        <v>712</v>
      </c>
      <c r="F15">
        <v>582</v>
      </c>
      <c r="G15">
        <v>656</v>
      </c>
      <c r="H15">
        <v>609</v>
      </c>
      <c r="I15">
        <f t="shared" si="20"/>
        <v>752.24401153474423</v>
      </c>
      <c r="K15">
        <f t="shared" si="21"/>
        <v>4227</v>
      </c>
      <c r="L15">
        <f t="shared" si="0"/>
        <v>679.5</v>
      </c>
      <c r="M15">
        <f t="shared" si="1"/>
        <v>675.5839089606576</v>
      </c>
      <c r="N15">
        <f t="shared" si="2"/>
        <v>671.72149035129064</v>
      </c>
      <c r="O15">
        <f t="shared" si="3"/>
        <v>684</v>
      </c>
      <c r="P15" t="e">
        <f t="shared" si="4"/>
        <v>#N/A</v>
      </c>
      <c r="Q15">
        <f t="shared" si="5"/>
        <v>80.316249912455447</v>
      </c>
      <c r="R15">
        <f t="shared" si="6"/>
        <v>73.318369685456958</v>
      </c>
      <c r="S15">
        <f t="shared" si="7"/>
        <v>6450.7</v>
      </c>
      <c r="T15">
        <f t="shared" si="8"/>
        <v>5375.583333333333</v>
      </c>
      <c r="U15">
        <f t="shared" si="9"/>
        <v>0.34188796788938181</v>
      </c>
      <c r="V15">
        <f t="shared" si="10"/>
        <v>-0.5910861150831952</v>
      </c>
      <c r="W15">
        <f t="shared" si="11"/>
        <v>582</v>
      </c>
      <c r="X15">
        <f t="shared" si="12"/>
        <v>620.75</v>
      </c>
      <c r="Y15">
        <f t="shared" si="13"/>
        <v>684</v>
      </c>
      <c r="Z15">
        <f t="shared" si="14"/>
        <v>715.75</v>
      </c>
      <c r="AA15">
        <f t="shared" si="15"/>
        <v>801</v>
      </c>
      <c r="AB15">
        <f t="shared" si="16"/>
        <v>582</v>
      </c>
      <c r="AC15">
        <f t="shared" si="17"/>
        <v>684</v>
      </c>
      <c r="AD15">
        <f t="shared" si="18"/>
        <v>801</v>
      </c>
      <c r="AE15">
        <f t="shared" si="19"/>
        <v>219</v>
      </c>
    </row>
    <row r="16" spans="1:31" ht="14.4" x14ac:dyDescent="0.3">
      <c r="A16">
        <v>15</v>
      </c>
      <c r="B16" t="s">
        <v>43</v>
      </c>
      <c r="C16">
        <v>502</v>
      </c>
      <c r="D16">
        <v>670</v>
      </c>
      <c r="E16">
        <v>545</v>
      </c>
      <c r="F16">
        <v>904</v>
      </c>
      <c r="G16">
        <v>726</v>
      </c>
      <c r="H16">
        <v>880</v>
      </c>
      <c r="I16">
        <f t="shared" si="20"/>
        <v>661.97569545221688</v>
      </c>
      <c r="K16">
        <f t="shared" si="21"/>
        <v>4439</v>
      </c>
      <c r="L16">
        <f t="shared" si="0"/>
        <v>704.5</v>
      </c>
      <c r="M16">
        <f t="shared" si="1"/>
        <v>687.79728565311927</v>
      </c>
      <c r="N16">
        <f t="shared" si="2"/>
        <v>671.18595814073194</v>
      </c>
      <c r="O16">
        <f t="shared" si="3"/>
        <v>698</v>
      </c>
      <c r="P16" t="e">
        <f t="shared" si="4"/>
        <v>#N/A</v>
      </c>
      <c r="Q16">
        <f t="shared" si="5"/>
        <v>166.55299456929617</v>
      </c>
      <c r="R16">
        <f t="shared" si="6"/>
        <v>152.04138690939823</v>
      </c>
      <c r="S16">
        <f t="shared" si="7"/>
        <v>27739.9</v>
      </c>
      <c r="T16">
        <f t="shared" si="8"/>
        <v>23116.583333333332</v>
      </c>
      <c r="U16">
        <f t="shared" si="9"/>
        <v>6.187982423531041E-2</v>
      </c>
      <c r="V16">
        <f t="shared" si="10"/>
        <v>-1.8261714193346155</v>
      </c>
      <c r="W16">
        <f t="shared" si="11"/>
        <v>502</v>
      </c>
      <c r="X16">
        <f t="shared" si="12"/>
        <v>576.25</v>
      </c>
      <c r="Y16">
        <f t="shared" si="13"/>
        <v>698</v>
      </c>
      <c r="Z16">
        <f t="shared" si="14"/>
        <v>841.5</v>
      </c>
      <c r="AA16">
        <f t="shared" si="15"/>
        <v>904</v>
      </c>
      <c r="AB16">
        <f t="shared" si="16"/>
        <v>502</v>
      </c>
      <c r="AC16">
        <f t="shared" si="17"/>
        <v>698</v>
      </c>
      <c r="AD16">
        <f t="shared" si="18"/>
        <v>904</v>
      </c>
      <c r="AE16">
        <f t="shared" si="19"/>
        <v>402</v>
      </c>
    </row>
    <row r="17" spans="1:31" ht="14.4" x14ac:dyDescent="0.3">
      <c r="A17">
        <v>16</v>
      </c>
      <c r="B17" t="s">
        <v>44</v>
      </c>
      <c r="C17">
        <v>645</v>
      </c>
      <c r="D17">
        <v>550</v>
      </c>
      <c r="E17">
        <v>867</v>
      </c>
      <c r="F17">
        <v>641</v>
      </c>
      <c r="G17">
        <v>922</v>
      </c>
      <c r="H17">
        <v>814</v>
      </c>
      <c r="I17">
        <f t="shared" si="20"/>
        <v>675.5839089606576</v>
      </c>
      <c r="K17">
        <f t="shared" si="21"/>
        <v>4895</v>
      </c>
      <c r="L17">
        <f t="shared" si="0"/>
        <v>739.83333333333337</v>
      </c>
      <c r="M17">
        <f t="shared" si="1"/>
        <v>727.26464623895924</v>
      </c>
      <c r="N17">
        <f t="shared" si="2"/>
        <v>714.6997056178202</v>
      </c>
      <c r="O17">
        <f t="shared" si="3"/>
        <v>729.5</v>
      </c>
      <c r="P17" t="e">
        <f t="shared" si="4"/>
        <v>#N/A</v>
      </c>
      <c r="Q17">
        <f t="shared" si="5"/>
        <v>148.0910755807611</v>
      </c>
      <c r="R17">
        <f t="shared" si="6"/>
        <v>135.18803776797543</v>
      </c>
      <c r="S17">
        <f t="shared" si="7"/>
        <v>21930.966666666696</v>
      </c>
      <c r="T17">
        <f t="shared" si="8"/>
        <v>18275.805555555555</v>
      </c>
      <c r="U17">
        <f t="shared" si="9"/>
        <v>-1.3825277744563083E-2</v>
      </c>
      <c r="V17">
        <f t="shared" si="10"/>
        <v>-2.0760095063540449</v>
      </c>
      <c r="W17">
        <f t="shared" si="11"/>
        <v>550</v>
      </c>
      <c r="X17">
        <f t="shared" si="12"/>
        <v>642</v>
      </c>
      <c r="Y17">
        <f t="shared" si="13"/>
        <v>729.5</v>
      </c>
      <c r="Z17">
        <f t="shared" si="14"/>
        <v>853.75</v>
      </c>
      <c r="AA17">
        <f t="shared" si="15"/>
        <v>922</v>
      </c>
      <c r="AB17">
        <f t="shared" si="16"/>
        <v>550</v>
      </c>
      <c r="AC17">
        <f t="shared" si="17"/>
        <v>729.5</v>
      </c>
      <c r="AD17">
        <f t="shared" si="18"/>
        <v>922</v>
      </c>
      <c r="AE17">
        <f t="shared" si="19"/>
        <v>372</v>
      </c>
    </row>
    <row r="18" spans="1:31" ht="14.4" x14ac:dyDescent="0.3">
      <c r="A18">
        <v>17</v>
      </c>
      <c r="B18" t="s">
        <v>45</v>
      </c>
      <c r="C18">
        <v>909</v>
      </c>
      <c r="D18">
        <v>519</v>
      </c>
      <c r="E18">
        <v>558</v>
      </c>
      <c r="F18">
        <v>987</v>
      </c>
      <c r="G18">
        <v>959</v>
      </c>
      <c r="H18">
        <v>963</v>
      </c>
      <c r="I18">
        <f t="shared" si="20"/>
        <v>687.79728565311927</v>
      </c>
      <c r="K18">
        <f t="shared" si="21"/>
        <v>4512</v>
      </c>
      <c r="L18">
        <f t="shared" si="0"/>
        <v>815.83333333333337</v>
      </c>
      <c r="M18">
        <f t="shared" si="1"/>
        <v>788.29344366318776</v>
      </c>
      <c r="N18">
        <f t="shared" si="2"/>
        <v>758.21213185135787</v>
      </c>
      <c r="O18">
        <f t="shared" si="3"/>
        <v>934</v>
      </c>
      <c r="P18" t="e">
        <f t="shared" si="4"/>
        <v>#N/A</v>
      </c>
      <c r="Q18">
        <f t="shared" si="5"/>
        <v>216.66602564007746</v>
      </c>
      <c r="R18">
        <f t="shared" si="6"/>
        <v>197.78811614677178</v>
      </c>
      <c r="S18">
        <f t="shared" si="7"/>
        <v>46944.166666666701</v>
      </c>
      <c r="T18">
        <f t="shared" si="8"/>
        <v>39120.138888888891</v>
      </c>
      <c r="U18">
        <f t="shared" si="9"/>
        <v>-0.92463744706579298</v>
      </c>
      <c r="V18">
        <f t="shared" si="10"/>
        <v>-1.8012632046920585</v>
      </c>
      <c r="W18">
        <f t="shared" si="11"/>
        <v>519</v>
      </c>
      <c r="X18">
        <f t="shared" si="12"/>
        <v>645.75</v>
      </c>
      <c r="Y18">
        <f t="shared" si="13"/>
        <v>934</v>
      </c>
      <c r="Z18">
        <f t="shared" si="14"/>
        <v>962</v>
      </c>
      <c r="AA18">
        <f t="shared" si="15"/>
        <v>987</v>
      </c>
      <c r="AB18">
        <f t="shared" si="16"/>
        <v>519</v>
      </c>
      <c r="AC18">
        <f t="shared" si="17"/>
        <v>934</v>
      </c>
      <c r="AD18">
        <f t="shared" si="18"/>
        <v>987</v>
      </c>
      <c r="AE18">
        <f t="shared" si="19"/>
        <v>468</v>
      </c>
    </row>
    <row r="19" spans="1:31" ht="14.4" x14ac:dyDescent="0.3">
      <c r="A19">
        <v>18</v>
      </c>
      <c r="B19" t="s">
        <v>46</v>
      </c>
      <c r="C19">
        <v>519</v>
      </c>
      <c r="D19">
        <v>805</v>
      </c>
      <c r="E19">
        <v>697</v>
      </c>
      <c r="F19">
        <v>767</v>
      </c>
      <c r="G19">
        <v>881</v>
      </c>
      <c r="H19">
        <v>843</v>
      </c>
      <c r="I19">
        <f t="shared" si="20"/>
        <v>727.26464623895924</v>
      </c>
      <c r="K19">
        <f t="shared" si="21"/>
        <v>3907</v>
      </c>
      <c r="L19">
        <f t="shared" si="0"/>
        <v>752</v>
      </c>
      <c r="M19">
        <f t="shared" si="1"/>
        <v>741.25188460317554</v>
      </c>
      <c r="N19">
        <f t="shared" si="2"/>
        <v>729.14349799277511</v>
      </c>
      <c r="O19">
        <f t="shared" si="3"/>
        <v>786</v>
      </c>
      <c r="P19" t="e">
        <f t="shared" si="4"/>
        <v>#N/A</v>
      </c>
      <c r="Q19">
        <f t="shared" si="5"/>
        <v>130.59096446538712</v>
      </c>
      <c r="R19">
        <f t="shared" si="6"/>
        <v>119.2126950734135</v>
      </c>
      <c r="S19">
        <f t="shared" si="7"/>
        <v>17054</v>
      </c>
      <c r="T19">
        <f t="shared" si="8"/>
        <v>14211.666666666666</v>
      </c>
      <c r="U19">
        <f t="shared" si="9"/>
        <v>-1.315146255326231</v>
      </c>
      <c r="V19">
        <f t="shared" si="10"/>
        <v>1.7163326960000074</v>
      </c>
      <c r="W19">
        <f t="shared" si="11"/>
        <v>519</v>
      </c>
      <c r="X19">
        <f t="shared" si="12"/>
        <v>714.5</v>
      </c>
      <c r="Y19">
        <f t="shared" si="13"/>
        <v>786</v>
      </c>
      <c r="Z19">
        <f t="shared" si="14"/>
        <v>833.5</v>
      </c>
      <c r="AA19">
        <f t="shared" si="15"/>
        <v>881</v>
      </c>
      <c r="AB19">
        <f t="shared" si="16"/>
        <v>519</v>
      </c>
      <c r="AC19">
        <f t="shared" si="17"/>
        <v>786</v>
      </c>
      <c r="AD19">
        <f t="shared" si="18"/>
        <v>881</v>
      </c>
      <c r="AE19">
        <f t="shared" si="19"/>
        <v>362</v>
      </c>
    </row>
    <row r="20" spans="1:31" ht="14.4" x14ac:dyDescent="0.3">
      <c r="A20">
        <v>19</v>
      </c>
      <c r="B20" t="s">
        <v>47</v>
      </c>
      <c r="C20">
        <v>955</v>
      </c>
      <c r="D20">
        <v>669</v>
      </c>
      <c r="E20">
        <v>556</v>
      </c>
      <c r="F20">
        <v>500</v>
      </c>
      <c r="G20">
        <v>556</v>
      </c>
      <c r="H20">
        <v>671</v>
      </c>
      <c r="I20">
        <f t="shared" si="20"/>
        <v>788.29344366318776</v>
      </c>
      <c r="K20">
        <f t="shared" si="21"/>
        <v>4871</v>
      </c>
      <c r="L20">
        <f t="shared" si="0"/>
        <v>651.16666666666663</v>
      </c>
      <c r="M20">
        <f t="shared" si="1"/>
        <v>636.12910461510785</v>
      </c>
      <c r="N20">
        <f t="shared" si="2"/>
        <v>623.09669936018895</v>
      </c>
      <c r="O20">
        <f t="shared" si="3"/>
        <v>612.5</v>
      </c>
      <c r="P20">
        <f t="shared" si="4"/>
        <v>556</v>
      </c>
      <c r="Q20">
        <f t="shared" si="5"/>
        <v>163.70145590881805</v>
      </c>
      <c r="R20">
        <f t="shared" si="6"/>
        <v>149.43830016282826</v>
      </c>
      <c r="S20">
        <f t="shared" si="7"/>
        <v>26798.166666666697</v>
      </c>
      <c r="T20">
        <f t="shared" si="8"/>
        <v>22331.805555555555</v>
      </c>
      <c r="U20">
        <f t="shared" si="9"/>
        <v>1.5649049646891824</v>
      </c>
      <c r="V20">
        <f t="shared" si="10"/>
        <v>2.725865408376297</v>
      </c>
      <c r="W20">
        <f t="shared" si="11"/>
        <v>500</v>
      </c>
      <c r="X20">
        <f t="shared" si="12"/>
        <v>556</v>
      </c>
      <c r="Y20">
        <f t="shared" si="13"/>
        <v>612.5</v>
      </c>
      <c r="Z20">
        <f t="shared" si="14"/>
        <v>670.5</v>
      </c>
      <c r="AA20">
        <f t="shared" si="15"/>
        <v>955</v>
      </c>
      <c r="AB20">
        <f t="shared" si="16"/>
        <v>500</v>
      </c>
      <c r="AC20">
        <f t="shared" si="17"/>
        <v>612.5</v>
      </c>
      <c r="AD20">
        <f t="shared" si="18"/>
        <v>955</v>
      </c>
      <c r="AE20">
        <f t="shared" si="19"/>
        <v>455</v>
      </c>
    </row>
    <row r="21" spans="1:31" ht="15.75" customHeight="1" x14ac:dyDescent="0.3">
      <c r="A21">
        <v>20</v>
      </c>
      <c r="B21" t="s">
        <v>48</v>
      </c>
      <c r="C21">
        <v>774</v>
      </c>
      <c r="D21">
        <v>905</v>
      </c>
      <c r="E21">
        <v>660</v>
      </c>
      <c r="F21">
        <v>891</v>
      </c>
      <c r="G21">
        <v>774</v>
      </c>
      <c r="H21">
        <v>867</v>
      </c>
      <c r="I21">
        <f t="shared" si="20"/>
        <v>741.25188460317554</v>
      </c>
      <c r="K21">
        <f t="shared" si="21"/>
        <v>4748</v>
      </c>
      <c r="L21">
        <f t="shared" si="0"/>
        <v>811.83333333333337</v>
      </c>
      <c r="M21">
        <f t="shared" si="1"/>
        <v>807.10221578434084</v>
      </c>
      <c r="N21">
        <f t="shared" si="2"/>
        <v>802.15617310181085</v>
      </c>
      <c r="O21">
        <f t="shared" si="3"/>
        <v>820.5</v>
      </c>
      <c r="P21">
        <f t="shared" si="4"/>
        <v>774</v>
      </c>
      <c r="Q21">
        <f t="shared" si="5"/>
        <v>93.70894656683906</v>
      </c>
      <c r="R21">
        <f t="shared" si="6"/>
        <v>85.544173124506585</v>
      </c>
      <c r="S21">
        <f t="shared" si="7"/>
        <v>8781.3666666666977</v>
      </c>
      <c r="T21">
        <f t="shared" si="8"/>
        <v>7317.8055555555557</v>
      </c>
      <c r="U21">
        <f t="shared" si="9"/>
        <v>-0.77865355854200324</v>
      </c>
      <c r="V21">
        <f t="shared" si="10"/>
        <v>-0.26383109191686493</v>
      </c>
      <c r="W21">
        <f t="shared" si="11"/>
        <v>660</v>
      </c>
      <c r="X21">
        <f t="shared" si="12"/>
        <v>774</v>
      </c>
      <c r="Y21">
        <f t="shared" si="13"/>
        <v>820.5</v>
      </c>
      <c r="Z21">
        <f t="shared" si="14"/>
        <v>885</v>
      </c>
      <c r="AA21">
        <f t="shared" si="15"/>
        <v>905</v>
      </c>
      <c r="AB21">
        <f t="shared" si="16"/>
        <v>660</v>
      </c>
      <c r="AC21">
        <f t="shared" si="17"/>
        <v>820.5</v>
      </c>
      <c r="AD21">
        <f t="shared" si="18"/>
        <v>905</v>
      </c>
      <c r="AE21">
        <f t="shared" si="19"/>
        <v>245</v>
      </c>
    </row>
    <row r="22" spans="1:31" ht="15.75" customHeight="1" x14ac:dyDescent="0.3">
      <c r="A22">
        <v>21</v>
      </c>
      <c r="B22" t="s">
        <v>32</v>
      </c>
      <c r="C22">
        <v>769</v>
      </c>
      <c r="D22">
        <v>698</v>
      </c>
      <c r="E22">
        <v>932</v>
      </c>
      <c r="F22">
        <v>949</v>
      </c>
      <c r="G22">
        <v>564</v>
      </c>
      <c r="H22">
        <v>836</v>
      </c>
      <c r="I22">
        <f t="shared" si="20"/>
        <v>636.12910461510785</v>
      </c>
      <c r="K22">
        <f t="shared" si="21"/>
        <v>5034</v>
      </c>
      <c r="L22">
        <f t="shared" si="0"/>
        <v>791.33333333333337</v>
      </c>
      <c r="M22">
        <f t="shared" si="1"/>
        <v>779.21662780884731</v>
      </c>
      <c r="N22">
        <f t="shared" si="2"/>
        <v>766.38346592460516</v>
      </c>
      <c r="O22">
        <f t="shared" si="3"/>
        <v>802.5</v>
      </c>
      <c r="P22" t="e">
        <f t="shared" si="4"/>
        <v>#N/A</v>
      </c>
      <c r="Q22">
        <f t="shared" si="5"/>
        <v>146.65015058521658</v>
      </c>
      <c r="R22">
        <f t="shared" si="6"/>
        <v>133.87265922842084</v>
      </c>
      <c r="S22">
        <f t="shared" si="7"/>
        <v>21506.266666666699</v>
      </c>
      <c r="T22">
        <f t="shared" si="8"/>
        <v>17921.888888888891</v>
      </c>
      <c r="U22">
        <f t="shared" si="9"/>
        <v>-0.54988743508060101</v>
      </c>
      <c r="V22">
        <f t="shared" si="10"/>
        <v>-0.55871841082546059</v>
      </c>
      <c r="W22">
        <f t="shared" si="11"/>
        <v>564</v>
      </c>
      <c r="X22">
        <f t="shared" si="12"/>
        <v>715.75</v>
      </c>
      <c r="Y22">
        <f t="shared" si="13"/>
        <v>802.5</v>
      </c>
      <c r="Z22">
        <f t="shared" si="14"/>
        <v>908</v>
      </c>
      <c r="AA22">
        <f t="shared" si="15"/>
        <v>949</v>
      </c>
      <c r="AB22">
        <f t="shared" si="16"/>
        <v>564</v>
      </c>
      <c r="AC22">
        <f t="shared" si="17"/>
        <v>802.5</v>
      </c>
      <c r="AD22">
        <f t="shared" si="18"/>
        <v>949</v>
      </c>
      <c r="AE22">
        <f t="shared" si="19"/>
        <v>385</v>
      </c>
    </row>
    <row r="23" spans="1:31" ht="15.75" customHeight="1" x14ac:dyDescent="0.3">
      <c r="A23">
        <v>22</v>
      </c>
      <c r="B23" t="s">
        <v>33</v>
      </c>
      <c r="C23">
        <v>958</v>
      </c>
      <c r="D23">
        <v>976</v>
      </c>
      <c r="E23">
        <v>935</v>
      </c>
      <c r="F23">
        <v>761</v>
      </c>
      <c r="G23">
        <v>826</v>
      </c>
      <c r="H23">
        <v>578</v>
      </c>
      <c r="I23">
        <f t="shared" si="20"/>
        <v>807.10221578434084</v>
      </c>
      <c r="K23">
        <f t="shared" si="21"/>
        <v>4507</v>
      </c>
      <c r="L23">
        <f t="shared" si="0"/>
        <v>839</v>
      </c>
      <c r="M23">
        <f t="shared" si="1"/>
        <v>826.01242486829744</v>
      </c>
      <c r="N23">
        <f t="shared" si="2"/>
        <v>811.60396475104596</v>
      </c>
      <c r="O23">
        <f t="shared" si="3"/>
        <v>880.5</v>
      </c>
      <c r="P23" t="e">
        <f t="shared" si="4"/>
        <v>#N/A</v>
      </c>
      <c r="Q23">
        <f t="shared" si="5"/>
        <v>152.65647709809105</v>
      </c>
      <c r="R23">
        <f t="shared" si="6"/>
        <v>139.35566009315875</v>
      </c>
      <c r="S23">
        <f t="shared" si="7"/>
        <v>23304</v>
      </c>
      <c r="T23">
        <f t="shared" si="8"/>
        <v>19420</v>
      </c>
      <c r="U23">
        <f t="shared" si="9"/>
        <v>-1.1059781769123553</v>
      </c>
      <c r="V23">
        <f t="shared" si="10"/>
        <v>0.60111823600161696</v>
      </c>
      <c r="W23">
        <f t="shared" si="11"/>
        <v>578</v>
      </c>
      <c r="X23">
        <f t="shared" si="12"/>
        <v>777.25</v>
      </c>
      <c r="Y23">
        <f t="shared" si="13"/>
        <v>880.5</v>
      </c>
      <c r="Z23">
        <f t="shared" si="14"/>
        <v>952.25</v>
      </c>
      <c r="AA23">
        <f t="shared" si="15"/>
        <v>976</v>
      </c>
      <c r="AB23">
        <f t="shared" si="16"/>
        <v>578</v>
      </c>
      <c r="AC23">
        <f t="shared" si="17"/>
        <v>880.5</v>
      </c>
      <c r="AD23">
        <f t="shared" si="18"/>
        <v>976</v>
      </c>
      <c r="AE23">
        <f t="shared" si="19"/>
        <v>398</v>
      </c>
    </row>
    <row r="24" spans="1:31" ht="15.75" customHeight="1" x14ac:dyDescent="0.3">
      <c r="A24">
        <v>23</v>
      </c>
      <c r="B24" t="s">
        <v>45</v>
      </c>
      <c r="C24">
        <v>963</v>
      </c>
      <c r="D24">
        <v>594</v>
      </c>
      <c r="E24">
        <v>596</v>
      </c>
      <c r="F24">
        <v>856</v>
      </c>
      <c r="G24">
        <v>811</v>
      </c>
      <c r="H24">
        <v>687</v>
      </c>
      <c r="I24">
        <f t="shared" si="20"/>
        <v>779.21662780884731</v>
      </c>
      <c r="K24">
        <f t="shared" si="21"/>
        <v>3980</v>
      </c>
      <c r="L24">
        <f t="shared" si="0"/>
        <v>751.16666666666663</v>
      </c>
      <c r="M24">
        <f t="shared" si="1"/>
        <v>738.78554807499791</v>
      </c>
      <c r="N24">
        <f t="shared" si="2"/>
        <v>726.6870061733988</v>
      </c>
      <c r="O24">
        <f t="shared" si="3"/>
        <v>749</v>
      </c>
      <c r="P24" t="e">
        <f t="shared" si="4"/>
        <v>#N/A</v>
      </c>
      <c r="Q24">
        <f t="shared" si="5"/>
        <v>149.89251704693834</v>
      </c>
      <c r="R24">
        <f t="shared" si="6"/>
        <v>136.83252131305952</v>
      </c>
      <c r="S24">
        <f t="shared" si="7"/>
        <v>22467.766666666699</v>
      </c>
      <c r="T24">
        <f t="shared" si="8"/>
        <v>18723.138888888891</v>
      </c>
      <c r="U24">
        <f t="shared" si="9"/>
        <v>0.26632067123251008</v>
      </c>
      <c r="V24">
        <f t="shared" si="10"/>
        <v>-1.5990361152385315</v>
      </c>
      <c r="W24">
        <f t="shared" si="11"/>
        <v>594</v>
      </c>
      <c r="X24">
        <f t="shared" si="12"/>
        <v>618.75</v>
      </c>
      <c r="Y24">
        <f t="shared" si="13"/>
        <v>749</v>
      </c>
      <c r="Z24">
        <f t="shared" si="14"/>
        <v>844.75</v>
      </c>
      <c r="AA24">
        <f t="shared" si="15"/>
        <v>963</v>
      </c>
      <c r="AB24">
        <f t="shared" si="16"/>
        <v>594</v>
      </c>
      <c r="AC24">
        <f t="shared" si="17"/>
        <v>749</v>
      </c>
      <c r="AD24">
        <f t="shared" si="18"/>
        <v>963</v>
      </c>
      <c r="AE24">
        <f t="shared" si="19"/>
        <v>369</v>
      </c>
    </row>
    <row r="25" spans="1:31" ht="15.75" customHeight="1" x14ac:dyDescent="0.3">
      <c r="A25">
        <v>24</v>
      </c>
      <c r="B25" t="s">
        <v>41</v>
      </c>
      <c r="C25">
        <v>667</v>
      </c>
      <c r="D25">
        <v>581</v>
      </c>
      <c r="E25">
        <v>654</v>
      </c>
      <c r="F25">
        <v>612</v>
      </c>
      <c r="G25">
        <v>683</v>
      </c>
      <c r="H25">
        <v>783</v>
      </c>
      <c r="I25">
        <f t="shared" si="20"/>
        <v>826.01242486829744</v>
      </c>
      <c r="K25">
        <f t="shared" si="21"/>
        <v>3988</v>
      </c>
      <c r="L25">
        <f t="shared" si="0"/>
        <v>663.33333333333337</v>
      </c>
      <c r="M25">
        <f t="shared" si="1"/>
        <v>660.39270482413826</v>
      </c>
      <c r="N25">
        <f t="shared" si="2"/>
        <v>657.55386596025824</v>
      </c>
      <c r="O25">
        <f t="shared" si="3"/>
        <v>660.5</v>
      </c>
      <c r="P25" t="e">
        <f t="shared" si="4"/>
        <v>#N/A</v>
      </c>
      <c r="Q25">
        <f t="shared" si="5"/>
        <v>69.60076627930664</v>
      </c>
      <c r="R25">
        <f t="shared" si="6"/>
        <v>63.536516184701924</v>
      </c>
      <c r="S25">
        <f t="shared" si="7"/>
        <v>4844.2666666666673</v>
      </c>
      <c r="T25">
        <f t="shared" si="8"/>
        <v>4036.8888888888891</v>
      </c>
      <c r="U25">
        <f t="shared" si="9"/>
        <v>0.91388083884811377</v>
      </c>
      <c r="V25">
        <f t="shared" si="10"/>
        <v>1.4494771591946014</v>
      </c>
      <c r="W25">
        <f t="shared" si="11"/>
        <v>581</v>
      </c>
      <c r="X25">
        <f t="shared" si="12"/>
        <v>622.5</v>
      </c>
      <c r="Y25">
        <f t="shared" si="13"/>
        <v>660.5</v>
      </c>
      <c r="Z25">
        <f t="shared" si="14"/>
        <v>679</v>
      </c>
      <c r="AA25">
        <f t="shared" si="15"/>
        <v>783</v>
      </c>
      <c r="AB25">
        <f t="shared" si="16"/>
        <v>581</v>
      </c>
      <c r="AC25">
        <f t="shared" si="17"/>
        <v>660.5</v>
      </c>
      <c r="AD25">
        <f t="shared" si="18"/>
        <v>783</v>
      </c>
      <c r="AE25">
        <f t="shared" si="19"/>
        <v>202</v>
      </c>
    </row>
    <row r="26" spans="1:31" ht="15.75" customHeight="1" x14ac:dyDescent="0.3">
      <c r="A26">
        <v>25</v>
      </c>
      <c r="B26" t="s">
        <v>47</v>
      </c>
      <c r="C26">
        <v>572</v>
      </c>
      <c r="D26">
        <v>605</v>
      </c>
      <c r="E26">
        <v>928</v>
      </c>
      <c r="F26">
        <v>809</v>
      </c>
      <c r="G26">
        <v>519</v>
      </c>
      <c r="H26">
        <v>555</v>
      </c>
      <c r="I26">
        <f t="shared" si="20"/>
        <v>738.78554807499791</v>
      </c>
      <c r="K26">
        <f t="shared" si="21"/>
        <v>4592</v>
      </c>
      <c r="L26">
        <f t="shared" si="0"/>
        <v>664.66666666666663</v>
      </c>
      <c r="M26">
        <f t="shared" si="1"/>
        <v>649.15943517495475</v>
      </c>
      <c r="N26">
        <f t="shared" si="2"/>
        <v>635.36380718175519</v>
      </c>
      <c r="O26">
        <f t="shared" si="3"/>
        <v>588.5</v>
      </c>
      <c r="P26" t="e">
        <f t="shared" si="4"/>
        <v>#N/A</v>
      </c>
      <c r="Q26">
        <f t="shared" si="5"/>
        <v>164.66288794584742</v>
      </c>
      <c r="R26">
        <f t="shared" si="6"/>
        <v>150.31596351981014</v>
      </c>
      <c r="S26">
        <f t="shared" si="7"/>
        <v>27113.866666666698</v>
      </c>
      <c r="T26">
        <f t="shared" si="8"/>
        <v>22594.888888888891</v>
      </c>
      <c r="U26">
        <f t="shared" si="9"/>
        <v>1.0650005789232773</v>
      </c>
      <c r="V26">
        <f t="shared" si="10"/>
        <v>-0.60941132725645986</v>
      </c>
      <c r="W26">
        <f t="shared" si="11"/>
        <v>519</v>
      </c>
      <c r="X26">
        <f t="shared" si="12"/>
        <v>559.25</v>
      </c>
      <c r="Y26">
        <f t="shared" si="13"/>
        <v>588.5</v>
      </c>
      <c r="Z26">
        <f t="shared" si="14"/>
        <v>758</v>
      </c>
      <c r="AA26">
        <f t="shared" si="15"/>
        <v>928</v>
      </c>
      <c r="AB26">
        <f t="shared" si="16"/>
        <v>519</v>
      </c>
      <c r="AC26">
        <f t="shared" si="17"/>
        <v>588.5</v>
      </c>
      <c r="AD26">
        <f t="shared" si="18"/>
        <v>928</v>
      </c>
      <c r="AE26">
        <f t="shared" si="19"/>
        <v>409</v>
      </c>
    </row>
    <row r="27" spans="1:31" ht="15.75" customHeight="1" x14ac:dyDescent="0.3">
      <c r="A27">
        <v>26</v>
      </c>
      <c r="B27" t="s">
        <v>36</v>
      </c>
      <c r="C27">
        <v>635</v>
      </c>
      <c r="D27">
        <v>705</v>
      </c>
      <c r="E27">
        <v>726</v>
      </c>
      <c r="F27">
        <v>876</v>
      </c>
      <c r="G27">
        <v>669</v>
      </c>
      <c r="H27">
        <v>981</v>
      </c>
      <c r="I27">
        <f t="shared" si="20"/>
        <v>660.39270482413826</v>
      </c>
      <c r="K27">
        <f t="shared" si="21"/>
        <v>4527</v>
      </c>
      <c r="L27">
        <f t="shared" si="0"/>
        <v>765.33333333333337</v>
      </c>
      <c r="M27">
        <f t="shared" si="1"/>
        <v>756.10675096657496</v>
      </c>
      <c r="N27">
        <f t="shared" si="2"/>
        <v>747.53852864201133</v>
      </c>
      <c r="O27">
        <f t="shared" si="3"/>
        <v>715.5</v>
      </c>
      <c r="P27" t="e">
        <f t="shared" si="4"/>
        <v>#N/A</v>
      </c>
      <c r="Q27">
        <f t="shared" si="5"/>
        <v>134.32299381217908</v>
      </c>
      <c r="R27">
        <f t="shared" si="6"/>
        <v>122.61955617092876</v>
      </c>
      <c r="S27">
        <f t="shared" si="7"/>
        <v>18042.666666666697</v>
      </c>
      <c r="T27">
        <f t="shared" si="8"/>
        <v>15035.555555555555</v>
      </c>
      <c r="U27">
        <f t="shared" si="9"/>
        <v>0.99004455470871799</v>
      </c>
      <c r="V27">
        <f t="shared" si="10"/>
        <v>-0.43630291540141819</v>
      </c>
      <c r="W27">
        <f t="shared" si="11"/>
        <v>635</v>
      </c>
      <c r="X27">
        <f t="shared" si="12"/>
        <v>678</v>
      </c>
      <c r="Y27">
        <f t="shared" si="13"/>
        <v>715.5</v>
      </c>
      <c r="Z27">
        <f t="shared" si="14"/>
        <v>838.5</v>
      </c>
      <c r="AA27">
        <f t="shared" si="15"/>
        <v>981</v>
      </c>
      <c r="AB27">
        <f t="shared" si="16"/>
        <v>635</v>
      </c>
      <c r="AC27">
        <f t="shared" si="17"/>
        <v>715.5</v>
      </c>
      <c r="AD27">
        <f t="shared" si="18"/>
        <v>981</v>
      </c>
      <c r="AE27">
        <f t="shared" si="19"/>
        <v>346</v>
      </c>
    </row>
    <row r="28" spans="1:31" ht="15.75" customHeight="1" x14ac:dyDescent="0.3">
      <c r="A28">
        <v>27</v>
      </c>
      <c r="B28" t="s">
        <v>37</v>
      </c>
      <c r="C28">
        <v>979</v>
      </c>
      <c r="D28">
        <v>646</v>
      </c>
      <c r="E28">
        <v>702</v>
      </c>
      <c r="F28">
        <v>637</v>
      </c>
      <c r="G28">
        <v>575</v>
      </c>
      <c r="H28">
        <v>988</v>
      </c>
      <c r="I28">
        <f t="shared" si="20"/>
        <v>649.15943517495475</v>
      </c>
      <c r="K28">
        <f t="shared" si="21"/>
        <v>3947</v>
      </c>
      <c r="L28">
        <f t="shared" si="0"/>
        <v>754.5</v>
      </c>
      <c r="M28">
        <f t="shared" si="1"/>
        <v>737.31447020533994</v>
      </c>
      <c r="N28">
        <f t="shared" si="2"/>
        <v>721.58103628666265</v>
      </c>
      <c r="O28">
        <f t="shared" si="3"/>
        <v>674</v>
      </c>
      <c r="P28" t="e">
        <f t="shared" si="4"/>
        <v>#N/A</v>
      </c>
      <c r="Q28">
        <f t="shared" si="5"/>
        <v>181.92168644776797</v>
      </c>
      <c r="R28">
        <f t="shared" si="6"/>
        <v>166.0710189447073</v>
      </c>
      <c r="S28">
        <f t="shared" si="7"/>
        <v>33095.5</v>
      </c>
      <c r="T28">
        <f t="shared" si="8"/>
        <v>27579.583333333332</v>
      </c>
      <c r="U28">
        <f t="shared" si="9"/>
        <v>0.75827468263503606</v>
      </c>
      <c r="V28">
        <f t="shared" si="10"/>
        <v>-1.8480944100554435</v>
      </c>
      <c r="W28">
        <f t="shared" si="11"/>
        <v>575</v>
      </c>
      <c r="X28">
        <f t="shared" si="12"/>
        <v>639.25</v>
      </c>
      <c r="Y28">
        <f t="shared" si="13"/>
        <v>674</v>
      </c>
      <c r="Z28">
        <f t="shared" si="14"/>
        <v>909.75</v>
      </c>
      <c r="AA28">
        <f t="shared" si="15"/>
        <v>988</v>
      </c>
      <c r="AB28">
        <f t="shared" si="16"/>
        <v>575</v>
      </c>
      <c r="AC28">
        <f t="shared" si="17"/>
        <v>674</v>
      </c>
      <c r="AD28">
        <f t="shared" si="18"/>
        <v>988</v>
      </c>
      <c r="AE28">
        <f t="shared" si="19"/>
        <v>413</v>
      </c>
    </row>
    <row r="29" spans="1:31" ht="15.75" customHeight="1" x14ac:dyDescent="0.3">
      <c r="A29">
        <v>28</v>
      </c>
      <c r="B29" t="s">
        <v>38</v>
      </c>
      <c r="C29">
        <v>597</v>
      </c>
      <c r="D29">
        <v>570</v>
      </c>
      <c r="E29">
        <v>723</v>
      </c>
      <c r="F29">
        <v>609</v>
      </c>
      <c r="G29">
        <v>853</v>
      </c>
      <c r="H29">
        <v>595</v>
      </c>
      <c r="I29">
        <f t="shared" si="20"/>
        <v>756.10675096657496</v>
      </c>
      <c r="K29">
        <f t="shared" si="21"/>
        <v>4429</v>
      </c>
      <c r="L29">
        <f t="shared" si="0"/>
        <v>657.83333333333337</v>
      </c>
      <c r="M29">
        <f t="shared" si="1"/>
        <v>650.89628919248082</v>
      </c>
      <c r="N29">
        <f t="shared" si="2"/>
        <v>644.63483565169338</v>
      </c>
      <c r="O29">
        <f t="shared" si="3"/>
        <v>603</v>
      </c>
      <c r="P29" t="e">
        <f t="shared" si="4"/>
        <v>#N/A</v>
      </c>
      <c r="Q29">
        <f t="shared" si="5"/>
        <v>109.62192603063814</v>
      </c>
      <c r="R29">
        <f t="shared" si="6"/>
        <v>100.07066947357197</v>
      </c>
      <c r="S29">
        <f t="shared" si="7"/>
        <v>12016.966666666698</v>
      </c>
      <c r="T29">
        <f t="shared" si="8"/>
        <v>10014.138888888889</v>
      </c>
      <c r="U29">
        <f t="shared" si="9"/>
        <v>1.4673834646301476</v>
      </c>
      <c r="V29">
        <f t="shared" si="10"/>
        <v>1.3282703203194899</v>
      </c>
      <c r="W29">
        <f t="shared" si="11"/>
        <v>570</v>
      </c>
      <c r="X29">
        <f t="shared" si="12"/>
        <v>595.5</v>
      </c>
      <c r="Y29">
        <f t="shared" si="13"/>
        <v>603</v>
      </c>
      <c r="Z29">
        <f t="shared" si="14"/>
        <v>694.5</v>
      </c>
      <c r="AA29">
        <f t="shared" si="15"/>
        <v>853</v>
      </c>
      <c r="AB29">
        <f t="shared" si="16"/>
        <v>570</v>
      </c>
      <c r="AC29">
        <f t="shared" si="17"/>
        <v>603</v>
      </c>
      <c r="AD29">
        <f t="shared" si="18"/>
        <v>853</v>
      </c>
      <c r="AE29">
        <f t="shared" si="19"/>
        <v>283</v>
      </c>
    </row>
    <row r="30" spans="1:31" ht="15.75" customHeight="1" x14ac:dyDescent="0.3">
      <c r="A30">
        <v>29</v>
      </c>
      <c r="B30" t="s">
        <v>39</v>
      </c>
      <c r="C30">
        <v>983</v>
      </c>
      <c r="D30">
        <v>682</v>
      </c>
      <c r="E30">
        <v>628</v>
      </c>
      <c r="F30">
        <v>793</v>
      </c>
      <c r="G30">
        <v>708</v>
      </c>
      <c r="H30">
        <v>635</v>
      </c>
      <c r="I30">
        <f t="shared" si="20"/>
        <v>737.31447020533994</v>
      </c>
      <c r="K30">
        <f t="shared" si="21"/>
        <v>4829</v>
      </c>
      <c r="L30">
        <f t="shared" si="0"/>
        <v>738.16666666666663</v>
      </c>
      <c r="M30">
        <f t="shared" si="1"/>
        <v>729.00350730375578</v>
      </c>
      <c r="N30">
        <f t="shared" si="2"/>
        <v>720.79059872903406</v>
      </c>
      <c r="O30">
        <f t="shared" si="3"/>
        <v>695</v>
      </c>
      <c r="P30" t="e">
        <f t="shared" si="4"/>
        <v>#N/A</v>
      </c>
      <c r="Q30">
        <f t="shared" si="5"/>
        <v>134.01106919455086</v>
      </c>
      <c r="R30">
        <f t="shared" si="6"/>
        <v>122.33480925540185</v>
      </c>
      <c r="S30">
        <f t="shared" si="7"/>
        <v>17958.966666666696</v>
      </c>
      <c r="T30">
        <f t="shared" si="8"/>
        <v>14965.805555555555</v>
      </c>
      <c r="U30">
        <f t="shared" si="9"/>
        <v>1.5209113611726772</v>
      </c>
      <c r="V30">
        <f t="shared" si="10"/>
        <v>2.1571919449672592</v>
      </c>
      <c r="W30">
        <f t="shared" si="11"/>
        <v>628</v>
      </c>
      <c r="X30">
        <f t="shared" si="12"/>
        <v>646.75</v>
      </c>
      <c r="Y30">
        <f t="shared" si="13"/>
        <v>695</v>
      </c>
      <c r="Z30">
        <f t="shared" si="14"/>
        <v>771.75</v>
      </c>
      <c r="AA30">
        <f t="shared" si="15"/>
        <v>983</v>
      </c>
      <c r="AB30">
        <f t="shared" si="16"/>
        <v>628</v>
      </c>
      <c r="AC30">
        <f t="shared" si="17"/>
        <v>695</v>
      </c>
      <c r="AD30">
        <f t="shared" si="18"/>
        <v>983</v>
      </c>
      <c r="AE30">
        <f t="shared" si="19"/>
        <v>355</v>
      </c>
    </row>
    <row r="31" spans="1:31" ht="15.75" customHeight="1" x14ac:dyDescent="0.3">
      <c r="A31">
        <v>30</v>
      </c>
      <c r="B31" t="s">
        <v>40</v>
      </c>
      <c r="C31">
        <v>627</v>
      </c>
      <c r="D31">
        <v>904</v>
      </c>
      <c r="E31">
        <v>918</v>
      </c>
      <c r="F31">
        <v>998</v>
      </c>
      <c r="G31">
        <v>578</v>
      </c>
      <c r="H31">
        <v>804</v>
      </c>
      <c r="I31">
        <f t="shared" si="20"/>
        <v>650.89628919248082</v>
      </c>
      <c r="K31">
        <f t="shared" si="21"/>
        <v>0</v>
      </c>
      <c r="L31">
        <f t="shared" si="0"/>
        <v>804.83333333333337</v>
      </c>
      <c r="M31">
        <f t="shared" si="1"/>
        <v>789.03968516441898</v>
      </c>
      <c r="N31">
        <f t="shared" si="2"/>
        <v>772.56820946803509</v>
      </c>
      <c r="O31">
        <f t="shared" si="3"/>
        <v>854</v>
      </c>
      <c r="P31" t="e">
        <f t="shared" si="4"/>
        <v>#N/A</v>
      </c>
      <c r="Q31">
        <f t="shared" si="5"/>
        <v>169.13475889558214</v>
      </c>
      <c r="R31">
        <f t="shared" si="6"/>
        <v>154.39820450884639</v>
      </c>
      <c r="S31">
        <f t="shared" si="7"/>
        <v>28606.566666666698</v>
      </c>
      <c r="T31">
        <f t="shared" si="8"/>
        <v>23838.805555555555</v>
      </c>
      <c r="U31">
        <f t="shared" si="9"/>
        <v>-0.47514399649534572</v>
      </c>
      <c r="V31">
        <f t="shared" si="10"/>
        <v>-1.7159151797407972</v>
      </c>
      <c r="W31">
        <f t="shared" si="11"/>
        <v>578</v>
      </c>
      <c r="X31">
        <f t="shared" si="12"/>
        <v>671.25</v>
      </c>
      <c r="Y31">
        <f t="shared" si="13"/>
        <v>854</v>
      </c>
      <c r="Z31">
        <f t="shared" si="14"/>
        <v>914.5</v>
      </c>
      <c r="AA31">
        <f t="shared" si="15"/>
        <v>998</v>
      </c>
      <c r="AB31">
        <f t="shared" si="16"/>
        <v>578</v>
      </c>
      <c r="AC31">
        <f t="shared" si="17"/>
        <v>854</v>
      </c>
      <c r="AD31">
        <f t="shared" si="18"/>
        <v>998</v>
      </c>
      <c r="AE31">
        <f t="shared" si="19"/>
        <v>420</v>
      </c>
    </row>
    <row r="32" spans="1:31" ht="15.75" customHeight="1" x14ac:dyDescent="0.3"/>
    <row r="33" spans="8:8" ht="15.75" customHeight="1" x14ac:dyDescent="0.3"/>
    <row r="34" spans="8:8" ht="15.75" customHeight="1" x14ac:dyDescent="0.3"/>
    <row r="35" spans="8:8" ht="15.75" customHeight="1" x14ac:dyDescent="0.3"/>
    <row r="36" spans="8:8" ht="15.75" customHeight="1" x14ac:dyDescent="0.3"/>
    <row r="37" spans="8:8" ht="15.75" customHeight="1" x14ac:dyDescent="0.3"/>
    <row r="38" spans="8:8" ht="15.75" customHeight="1" x14ac:dyDescent="0.3"/>
    <row r="39" spans="8:8" ht="15.75" customHeight="1" x14ac:dyDescent="0.3"/>
    <row r="40" spans="8:8" ht="15.75" customHeight="1" x14ac:dyDescent="0.3"/>
    <row r="41" spans="8:8" ht="15.75" customHeight="1" x14ac:dyDescent="0.3"/>
    <row r="42" spans="8:8" ht="15.75" customHeight="1" x14ac:dyDescent="0.3"/>
    <row r="43" spans="8:8" ht="15.75" customHeight="1" x14ac:dyDescent="0.3"/>
    <row r="44" spans="8:8" ht="15.75" customHeight="1" x14ac:dyDescent="0.3"/>
    <row r="45" spans="8:8" ht="15.75" customHeight="1" x14ac:dyDescent="0.3"/>
    <row r="46" spans="8:8" ht="15.75" customHeight="1" x14ac:dyDescent="0.3"/>
    <row r="47" spans="8:8" ht="15.75" customHeight="1" x14ac:dyDescent="0.3"/>
    <row r="48" spans="8:8" ht="15.75" customHeight="1" x14ac:dyDescent="0.3">
      <c r="H48" t="s">
        <v>49</v>
      </c>
    </row>
    <row r="49" spans="8:8" ht="15.75" customHeight="1" x14ac:dyDescent="0.3">
      <c r="H49" t="s">
        <v>50</v>
      </c>
    </row>
    <row r="50" spans="8:8" ht="15.75" customHeight="1" x14ac:dyDescent="0.3">
      <c r="H50" t="s">
        <v>51</v>
      </c>
    </row>
    <row r="51" spans="8:8" ht="15.75" customHeight="1" x14ac:dyDescent="0.3"/>
    <row r="52" spans="8:8" ht="15.75" customHeight="1" x14ac:dyDescent="0.3"/>
    <row r="53" spans="8:8" ht="15.75" customHeight="1" x14ac:dyDescent="0.3">
      <c r="H53" t="s">
        <v>52</v>
      </c>
    </row>
    <row r="54" spans="8:8" ht="15.75" customHeight="1" x14ac:dyDescent="0.3"/>
    <row r="55" spans="8:8" ht="15.75" customHeight="1" x14ac:dyDescent="0.3"/>
    <row r="56" spans="8:8" ht="15.75" customHeight="1" x14ac:dyDescent="0.3"/>
    <row r="57" spans="8:8" ht="15.75" customHeight="1" x14ac:dyDescent="0.3"/>
    <row r="58" spans="8:8" ht="15.75" customHeight="1" x14ac:dyDescent="0.3"/>
    <row r="59" spans="8:8" ht="15.75" customHeight="1" x14ac:dyDescent="0.3"/>
    <row r="60" spans="8:8" ht="15.75" customHeight="1" x14ac:dyDescent="0.3"/>
    <row r="61" spans="8:8" ht="15.75" customHeight="1" x14ac:dyDescent="0.3"/>
    <row r="62" spans="8:8" ht="15.75" customHeight="1" x14ac:dyDescent="0.3"/>
    <row r="63" spans="8:8" ht="15.75" customHeight="1" x14ac:dyDescent="0.3"/>
    <row r="64" spans="8:8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Kiruba</dc:creator>
  <cp:lastModifiedBy>innaya imam</cp:lastModifiedBy>
  <dcterms:created xsi:type="dcterms:W3CDTF">2023-01-05T16:02:18Z</dcterms:created>
  <dcterms:modified xsi:type="dcterms:W3CDTF">2026-09-20T17:15:28Z</dcterms:modified>
</cp:coreProperties>
</file>