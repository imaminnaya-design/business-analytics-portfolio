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3.xml" ContentType="application/vnd.openxmlformats-officedocument.drawing+xml"/>
  <Override PartName="/xl/pivotTables/pivotTable1.xml" ContentType="application/vnd.openxmlformats-officedocument.spreadsheetml.pivotTable+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b161883b318c98f9/Desktop/"/>
    </mc:Choice>
  </mc:AlternateContent>
  <xr:revisionPtr revIDLastSave="99" documentId="8_{2A7F3B93-B62F-46A5-8604-4A1E31EB3B85}" xr6:coauthVersionLast="47" xr6:coauthVersionMax="47" xr10:uidLastSave="{848A14F8-FCC7-4CA9-80D3-115EA7F21605}"/>
  <bookViews>
    <workbookView xWindow="-108" yWindow="-108" windowWidth="23256" windowHeight="12456" firstSheet="4" activeTab="9" xr2:uid="{3D8EEFF8-A5FD-44A6-8F3F-2E5767D7085F}"/>
  </bookViews>
  <sheets>
    <sheet name="Conditional Formatting" sheetId="7" r:id="rId1"/>
    <sheet name="Formatted Table &amp; Slicers" sheetId="1" r:id="rId2"/>
    <sheet name="Referenc" sheetId="5" state="hidden" r:id="rId3"/>
    <sheet name="Revenue in %" sheetId="9" r:id="rId4"/>
    <sheet name="Revenue in dubai" sheetId="10" r:id="rId5"/>
    <sheet name="Pivot" sheetId="3" r:id="rId6"/>
    <sheet name="IF conditions" sheetId="2" r:id="rId7"/>
    <sheet name="Working with empty cells" sheetId="4" r:id="rId8"/>
    <sheet name="Lookup" sheetId="6" r:id="rId9"/>
    <sheet name="Validation" sheetId="8" r:id="rId10"/>
  </sheets>
  <externalReferences>
    <externalReference r:id="rId11"/>
    <externalReference r:id="rId12"/>
    <externalReference r:id="rId13"/>
  </externalReferences>
  <definedNames>
    <definedName name="_xlnm._FilterDatabase" localSheetId="0" hidden="1">'Conditional Formatting'!#REF!</definedName>
    <definedName name="_xlnm._FilterDatabase" localSheetId="1" hidden="1">'Formatted Table &amp; Slicers'!$B$3:$F$18</definedName>
    <definedName name="_xlnm._FilterDatabase" localSheetId="6" hidden="1">'IF conditions'!$B$6:$G$21</definedName>
    <definedName name="_xlnm._FilterDatabase" localSheetId="7" hidden="1">'Working with empty cells'!$A$1:$H$43</definedName>
    <definedName name="_xlnm.Extract" localSheetId="0">'Conditional Formatting'!#REF!</definedName>
    <definedName name="FromArray_1">_xlfn.ANCHORARRAY([1]Sheet3!$C$3)</definedName>
    <definedName name="Gross_Margin">#REF!</definedName>
    <definedName name="List">#REF!</definedName>
    <definedName name="Months" localSheetId="0">'Conditional Formatting'!#REF!</definedName>
    <definedName name="Months">#REF!</definedName>
    <definedName name="Name" localSheetId="0">#REF!</definedName>
    <definedName name="Name">#REF!</definedName>
    <definedName name="Slicer_City">#N/A</definedName>
    <definedName name="Slicer_Month">#N/A</definedName>
    <definedName name="Slicer_Region">#N/A</definedName>
    <definedName name="SpinControlsWeeklySales">OFFSET('[2]23 - Spin Controls'!$B$6,0,0,1,'[2]23 - Spin Controls'!$A$2)</definedName>
    <definedName name="Totalsales" localSheetId="0">'Conditional Formatting'!#REF!</definedName>
    <definedName name="Totalsales">#REF!</definedName>
    <definedName name="twentyfifteensales" localSheetId="0">'Conditional Formatting'!#REF!</definedName>
    <definedName name="twentyfifteensales">#REF!</definedName>
    <definedName name="twentysixteensales" localSheetId="0">'Conditional Formatting'!#REF!</definedName>
    <definedName name="twentysixteensales">#REF!</definedName>
    <definedName name="Week_2">'[3]IF OR Function'!$C$5:$C$9</definedName>
    <definedName name="Week1">'[3]IF OR Function'!$B$5:$B$9</definedName>
    <definedName name="Week3">'[3]IF OR Function'!$D$5:$D$9</definedName>
    <definedName name="Week4">'[3]IF OR Function'!$E$5:$E$9</definedName>
  </definedNames>
  <calcPr calcId="191029"/>
  <pivotCaches>
    <pivotCache cacheId="7" r:id="rId14"/>
  </pivotCaches>
  <extLs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6"/>
        <x14:slicerCache r:id="rId17"/>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 i="6" l="1"/>
  <c r="F4" i="6"/>
  <c r="C4" i="6"/>
  <c r="G8" i="2"/>
  <c r="G9" i="2"/>
  <c r="G10" i="2"/>
  <c r="G11" i="2"/>
  <c r="G12" i="2"/>
  <c r="G13" i="2"/>
  <c r="G14" i="2"/>
  <c r="G15" i="2"/>
  <c r="G16" i="2"/>
  <c r="G17" i="2"/>
  <c r="G18" i="2"/>
  <c r="G19" i="2"/>
  <c r="G20" i="2"/>
  <c r="G21" i="2"/>
  <c r="G7" i="2"/>
  <c r="H4" i="4"/>
  <c r="B6" i="4"/>
  <c r="G6" i="4"/>
  <c r="C6" i="4"/>
  <c r="C7" i="4"/>
  <c r="E9" i="4"/>
  <c r="G11" i="4"/>
  <c r="C12" i="4"/>
  <c r="B13" i="4"/>
  <c r="F17" i="4"/>
  <c r="C21" i="4"/>
  <c r="F26" i="4"/>
  <c r="C28" i="4"/>
  <c r="E30" i="4"/>
  <c r="B37" i="4"/>
  <c r="F36" i="4"/>
  <c r="F37" i="4"/>
  <c r="E40" i="4"/>
  <c r="F19" i="1"/>
</calcChain>
</file>

<file path=xl/sharedStrings.xml><?xml version="1.0" encoding="utf-8"?>
<sst xmlns="http://schemas.openxmlformats.org/spreadsheetml/2006/main" count="1003" uniqueCount="253">
  <si>
    <t>Find out the total Revenue of Mumbai for the month of July. Use Slicers for this exerices.</t>
  </si>
  <si>
    <t>Month</t>
  </si>
  <si>
    <t>City</t>
  </si>
  <si>
    <t>Brand</t>
  </si>
  <si>
    <t>Total Revenue</t>
  </si>
  <si>
    <t>Total Merchandise Sold</t>
  </si>
  <si>
    <t>July</t>
  </si>
  <si>
    <t>Pune</t>
  </si>
  <si>
    <t xml:space="preserve">Amazon </t>
  </si>
  <si>
    <t>Amazon Fashion</t>
  </si>
  <si>
    <t>April</t>
  </si>
  <si>
    <t>Chennai</t>
  </si>
  <si>
    <t>Flipkart</t>
  </si>
  <si>
    <t>May</t>
  </si>
  <si>
    <t>Mumbai</t>
  </si>
  <si>
    <t>Jabong</t>
  </si>
  <si>
    <t>January</t>
  </si>
  <si>
    <t>Myntra A</t>
  </si>
  <si>
    <t>February</t>
  </si>
  <si>
    <t>December</t>
  </si>
  <si>
    <t>Hyderabad</t>
  </si>
  <si>
    <t>August</t>
  </si>
  <si>
    <t>June</t>
  </si>
  <si>
    <t>Bangalore</t>
  </si>
  <si>
    <t>Myntra B</t>
  </si>
  <si>
    <t>November</t>
  </si>
  <si>
    <t>TASK 2:</t>
  </si>
  <si>
    <t>If a city achieves a revenue of 500000 and above then we will name it 'Tier 1' or else 'Tier 2'</t>
  </si>
  <si>
    <t>TASK 3</t>
  </si>
  <si>
    <t>Task 1: Your answers below for every row</t>
  </si>
  <si>
    <t>Task 3</t>
  </si>
  <si>
    <t>Your Answer in the grey area only. Answers will not be checked if they are outside the grey box</t>
  </si>
  <si>
    <t>Order Date</t>
  </si>
  <si>
    <t>Segment</t>
  </si>
  <si>
    <t>Revenue Generated</t>
  </si>
  <si>
    <t>Products Sold</t>
  </si>
  <si>
    <t>Reports Needed - Each report on a new sheet</t>
  </si>
  <si>
    <t>Munich</t>
  </si>
  <si>
    <t>Beauty &amp; Personal Care</t>
  </si>
  <si>
    <t>Dubai</t>
  </si>
  <si>
    <t>Household Essentials</t>
  </si>
  <si>
    <t>Moscow</t>
  </si>
  <si>
    <t>Baby Care</t>
  </si>
  <si>
    <t>Pet Supplies</t>
  </si>
  <si>
    <t>London</t>
  </si>
  <si>
    <t>Kochi</t>
  </si>
  <si>
    <t>Grocery &amp; Kitchen</t>
  </si>
  <si>
    <t>Snacks &amp; Drinks</t>
  </si>
  <si>
    <t>Sydney</t>
  </si>
  <si>
    <t>Chicago</t>
  </si>
  <si>
    <t>Colombo</t>
  </si>
  <si>
    <t>Bologna</t>
  </si>
  <si>
    <t>Auckland</t>
  </si>
  <si>
    <t>Paris</t>
  </si>
  <si>
    <t>Mexico</t>
  </si>
  <si>
    <t>Coimbatore</t>
  </si>
  <si>
    <t>Tokyo</t>
  </si>
  <si>
    <t>1. Segmentwise Revenue in % - Column chart</t>
  </si>
  <si>
    <t>All Slicers Should Be Kept In Selection Mode. So Once You Make The Respective Choices In Slicer, Please Save The File And Continue Working</t>
  </si>
  <si>
    <t>Emp ID</t>
  </si>
  <si>
    <t>Last Name</t>
  </si>
  <si>
    <t>First Name</t>
  </si>
  <si>
    <t>Dept</t>
  </si>
  <si>
    <t>E-mail</t>
  </si>
  <si>
    <t>Phone Ext</t>
  </si>
  <si>
    <t>Location</t>
  </si>
  <si>
    <t>Hire Date</t>
  </si>
  <si>
    <t>Kenny</t>
  </si>
  <si>
    <t>Daoud</t>
  </si>
  <si>
    <t>HR</t>
  </si>
  <si>
    <t>daouda</t>
  </si>
  <si>
    <t>Building 3</t>
  </si>
  <si>
    <t>Atherly</t>
  </si>
  <si>
    <t>Katherine</t>
  </si>
  <si>
    <t>kathya</t>
  </si>
  <si>
    <t>Atherton</t>
  </si>
  <si>
    <t>Katie</t>
  </si>
  <si>
    <t>katiea</t>
  </si>
  <si>
    <t>Bankler</t>
  </si>
  <si>
    <t>Rowena</t>
  </si>
  <si>
    <t>SA</t>
  </si>
  <si>
    <t>rowenab</t>
  </si>
  <si>
    <t>AT</t>
  </si>
  <si>
    <t>eileenb</t>
  </si>
  <si>
    <t>Berwick</t>
  </si>
  <si>
    <t>eberwick</t>
  </si>
  <si>
    <t>Sam</t>
  </si>
  <si>
    <t>samb</t>
  </si>
  <si>
    <t>Boughton</t>
  </si>
  <si>
    <t>Frank</t>
  </si>
  <si>
    <t>AD</t>
  </si>
  <si>
    <t>Building 2</t>
  </si>
  <si>
    <t>Brwyne</t>
  </si>
  <si>
    <t>Melia</t>
  </si>
  <si>
    <t>AC</t>
  </si>
  <si>
    <t>meliab</t>
  </si>
  <si>
    <t>Chang</t>
  </si>
  <si>
    <t>Jessica</t>
  </si>
  <si>
    <t>MF</t>
  </si>
  <si>
    <t>jessc</t>
  </si>
  <si>
    <t>Cortlandt</t>
  </si>
  <si>
    <t>charlesc</t>
  </si>
  <si>
    <t>Judy</t>
  </si>
  <si>
    <t>judyc</t>
  </si>
  <si>
    <t>Building 1</t>
  </si>
  <si>
    <t>Corwick</t>
  </si>
  <si>
    <t>Rob</t>
  </si>
  <si>
    <t>robertc</t>
  </si>
  <si>
    <t>Cronwith</t>
  </si>
  <si>
    <t>Brent</t>
  </si>
  <si>
    <t>brentc</t>
  </si>
  <si>
    <t>Fontaine</t>
  </si>
  <si>
    <t>Jean</t>
  </si>
  <si>
    <t>jeanf</t>
  </si>
  <si>
    <t>Franklin</t>
  </si>
  <si>
    <t>Larry</t>
  </si>
  <si>
    <t>larryf</t>
  </si>
  <si>
    <t>Gonzales</t>
  </si>
  <si>
    <t>Joe</t>
  </si>
  <si>
    <t>joeg</t>
  </si>
  <si>
    <t>Hapsbuch</t>
  </si>
  <si>
    <t>Kendrick</t>
  </si>
  <si>
    <t>kendrickh</t>
  </si>
  <si>
    <t>Henders</t>
  </si>
  <si>
    <t>Mark</t>
  </si>
  <si>
    <t>markh</t>
  </si>
  <si>
    <t>Kane</t>
  </si>
  <si>
    <t>sherylk</t>
  </si>
  <si>
    <t>Kegler</t>
  </si>
  <si>
    <t>Pam</t>
  </si>
  <si>
    <t>pamk</t>
  </si>
  <si>
    <t>Kourios</t>
  </si>
  <si>
    <t>Theo</t>
  </si>
  <si>
    <t>theok</t>
  </si>
  <si>
    <t>Lampstone</t>
  </si>
  <si>
    <t>Pete</t>
  </si>
  <si>
    <t>petel</t>
  </si>
  <si>
    <t>MacDonald</t>
  </si>
  <si>
    <t>Bronwyn</t>
  </si>
  <si>
    <t>bronm</t>
  </si>
  <si>
    <t>Mivelli</t>
  </si>
  <si>
    <t>Maria</t>
  </si>
  <si>
    <t>mariam</t>
  </si>
  <si>
    <t>Morton</t>
  </si>
  <si>
    <t>Norman</t>
  </si>
  <si>
    <t>normanm</t>
  </si>
  <si>
    <t>Mueller</t>
  </si>
  <si>
    <t>ursulam</t>
  </si>
  <si>
    <t>Sammler</t>
  </si>
  <si>
    <t>MK</t>
  </si>
  <si>
    <t>marks</t>
  </si>
  <si>
    <t>Sampson</t>
  </si>
  <si>
    <t>Carla</t>
  </si>
  <si>
    <t>Scote</t>
  </si>
  <si>
    <t>Gail</t>
  </si>
  <si>
    <t>gails</t>
  </si>
  <si>
    <t>Simpson</t>
  </si>
  <si>
    <t>Sandrae</t>
  </si>
  <si>
    <t>sandraes</t>
  </si>
  <si>
    <t>Sindole</t>
  </si>
  <si>
    <t>Randy</t>
  </si>
  <si>
    <t>randys</t>
  </si>
  <si>
    <t>Smith</t>
  </si>
  <si>
    <t>Barbara</t>
  </si>
  <si>
    <t>barbaras</t>
  </si>
  <si>
    <t>Ellen</t>
  </si>
  <si>
    <t>ellens</t>
  </si>
  <si>
    <t>Hazel</t>
  </si>
  <si>
    <t>hazelg</t>
  </si>
  <si>
    <t>Howard</t>
  </si>
  <si>
    <t>howards</t>
  </si>
  <si>
    <t>Szcznyck</t>
  </si>
  <si>
    <t>Tadeuz</t>
  </si>
  <si>
    <t>tadeuzs</t>
  </si>
  <si>
    <t>Tuppman</t>
  </si>
  <si>
    <t>Lise-Anne</t>
  </si>
  <si>
    <t>lise-annt</t>
  </si>
  <si>
    <t>Vuanuo</t>
  </si>
  <si>
    <t>Tuome</t>
  </si>
  <si>
    <t>Wu</t>
  </si>
  <si>
    <t>Tammy</t>
  </si>
  <si>
    <t>tammyw</t>
  </si>
  <si>
    <t>Ygarre</t>
  </si>
  <si>
    <t>Lisa</t>
  </si>
  <si>
    <t>lisay</t>
  </si>
  <si>
    <t>Zostoc</t>
  </si>
  <si>
    <t>Melissa</t>
  </si>
  <si>
    <t>melissaz</t>
  </si>
  <si>
    <t>Task: Fill up the empty cells with reference of its respective UPPER cell</t>
  </si>
  <si>
    <t>This Task carries 10 points</t>
  </si>
  <si>
    <t>This task carries 10 points</t>
  </si>
  <si>
    <t>Task: Get the Sales value for various products calculating a common rate of GST given below</t>
  </si>
  <si>
    <t>Ideal Answer</t>
  </si>
  <si>
    <t>Product</t>
  </si>
  <si>
    <t>Quantity</t>
  </si>
  <si>
    <t>Sales value</t>
  </si>
  <si>
    <t>GST</t>
  </si>
  <si>
    <t>Unit Price</t>
  </si>
  <si>
    <t>Only GST amount</t>
  </si>
  <si>
    <t>Cell No.</t>
  </si>
  <si>
    <t>Vendor ID</t>
  </si>
  <si>
    <t>Cell No</t>
  </si>
  <si>
    <t>howards@ymail.com</t>
  </si>
  <si>
    <t>joeg@gmail.com</t>
  </si>
  <si>
    <t>gails@yahoo.in</t>
  </si>
  <si>
    <t>Sheryl</t>
  </si>
  <si>
    <t>sherylk@outlook.com</t>
  </si>
  <si>
    <t>kendrickh@outlook.com</t>
  </si>
  <si>
    <t>markh@ymail.com</t>
  </si>
  <si>
    <t>katiea@somemail.com</t>
  </si>
  <si>
    <t>Bellwood</t>
  </si>
  <si>
    <t>frankb@anymail.com</t>
  </si>
  <si>
    <t>Cooper</t>
  </si>
  <si>
    <t>Linda</t>
  </si>
  <si>
    <t>lindac@nomail.com</t>
  </si>
  <si>
    <t>brentc@yourmail.com</t>
  </si>
  <si>
    <t>Student First Name</t>
  </si>
  <si>
    <t>Vikram</t>
  </si>
  <si>
    <t>Mary</t>
  </si>
  <si>
    <t>Sarah</t>
  </si>
  <si>
    <t>Jaya</t>
  </si>
  <si>
    <t>William</t>
  </si>
  <si>
    <t>Jerry</t>
  </si>
  <si>
    <t>APPLY THE CONDITIONAL FORMATTING TOOLS TO GET IT AS SHOWN IN THE IDEAL TABLE ON RIGHT.</t>
  </si>
  <si>
    <r>
      <t>Task 1: Apply colour code to cells that contain numbers below ₹10, in the below table  -</t>
    </r>
    <r>
      <rPr>
        <sz val="11"/>
        <color rgb="FFFF0000"/>
        <rFont val="Calibri"/>
        <family val="2"/>
        <scheme val="minor"/>
      </rPr>
      <t xml:space="preserve"> This task carries 10 points</t>
    </r>
  </si>
  <si>
    <r>
      <t xml:space="preserve">Task 2: Apply colour code to cells that contain numbers between ₹15 and ₹30, in the below table - </t>
    </r>
    <r>
      <rPr>
        <sz val="11"/>
        <color rgb="FFFF0000"/>
        <rFont val="Calibri"/>
        <family val="2"/>
        <scheme val="minor"/>
      </rPr>
      <t>This task carries 10 points</t>
    </r>
  </si>
  <si>
    <t>Count of July records</t>
  </si>
  <si>
    <t>20 Points</t>
  </si>
  <si>
    <t>2. Top 3 Segments based on Revenue, in Dubai - Pie Chart + Slicer</t>
  </si>
  <si>
    <r>
      <t>Using another element of IF functions, find out the</t>
    </r>
    <r>
      <rPr>
        <b/>
        <sz val="11"/>
        <color rgb="FFFF0000"/>
        <rFont val="Calibri"/>
        <family val="2"/>
        <scheme val="minor"/>
      </rPr>
      <t xml:space="preserve"> COUNT of July</t>
    </r>
    <r>
      <rPr>
        <sz val="11"/>
        <color theme="1"/>
        <rFont val="Calibri"/>
        <family val="2"/>
        <scheme val="minor"/>
      </rPr>
      <t xml:space="preserve"> records</t>
    </r>
  </si>
  <si>
    <t>Monthly Consolidation</t>
  </si>
  <si>
    <t>Total</t>
  </si>
  <si>
    <t>Department</t>
  </si>
  <si>
    <t>Region</t>
  </si>
  <si>
    <t>Task 1:  Use Vendor ID to obtain the Cell No.</t>
  </si>
  <si>
    <t>Vlookup Exercise - 10 POINTS</t>
  </si>
  <si>
    <t>Xlookup Exercise - 10 POINTS</t>
  </si>
  <si>
    <t>This task carries 20 points 
(10 points for formatting &amp; 10 points for creating lists)</t>
  </si>
  <si>
    <r>
      <rPr>
        <b/>
        <sz val="11"/>
        <color theme="1"/>
        <rFont val="Calibri"/>
        <family val="2"/>
        <scheme val="minor"/>
      </rPr>
      <t>Task</t>
    </r>
    <r>
      <rPr>
        <sz val="11"/>
        <color theme="1"/>
        <rFont val="Calibri"/>
        <family val="2"/>
        <scheme val="minor"/>
      </rPr>
      <t xml:space="preserve">: Create a drop down list of the department names of your choice, in the below table. </t>
    </r>
    <r>
      <rPr>
        <b/>
        <sz val="11"/>
        <color theme="1"/>
        <rFont val="Calibri"/>
        <family val="2"/>
        <scheme val="minor"/>
      </rPr>
      <t>Please note that the table should be extendable to additional values.</t>
    </r>
    <r>
      <rPr>
        <sz val="11"/>
        <color theme="1"/>
        <rFont val="Calibri"/>
        <family val="2"/>
        <scheme val="minor"/>
      </rPr>
      <t xml:space="preserve"> Please create the dropdown list only in the grey area</t>
    </r>
  </si>
  <si>
    <t>Task 2:  Use Cell No. to obtain the Vendor ID</t>
  </si>
  <si>
    <t>Task 3:  Use Vendor ID to obtain the Cell No.</t>
  </si>
  <si>
    <t>TASK - 40 Points</t>
  </si>
  <si>
    <t>TASK</t>
  </si>
  <si>
    <t>Vlookup with custom error message -  In the cell no. instead of NA error message - 'Invalid Vendor ID' 
Exercise - 10 POINTS</t>
  </si>
  <si>
    <t>Use different sheet for different reports and PLEASE rename the sheet as Pivot 1 and Pivot 2</t>
  </si>
  <si>
    <t>Grand Total</t>
  </si>
  <si>
    <t>Row Labels</t>
  </si>
  <si>
    <t>Sum of Revenue Generated</t>
  </si>
  <si>
    <t>DEPARTMENT</t>
  </si>
  <si>
    <t>Finance</t>
  </si>
  <si>
    <t>sales</t>
  </si>
  <si>
    <t>Techical</t>
  </si>
  <si>
    <t>Production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</si>
</sst>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m/yyyy"/>
    <numFmt numFmtId="165" formatCode="&quot;₹&quot;\ #,##0.00"/>
    <numFmt numFmtId="166" formatCode="&quot;₹&quot;\ #,##0"/>
  </numFmts>
  <fonts count="23" x14ac:knownFonts="1">
    <font>
      <sz val="11"/>
      <color theme="1"/>
      <name val="Calibri"/>
      <family val="2"/>
      <scheme val="minor"/>
    </font>
    <font>
      <b/>
      <sz val="11"/>
      <color theme="1"/>
      <name val="Calibri"/>
      <family val="2"/>
      <scheme val="minor"/>
    </font>
    <font>
      <b/>
      <sz val="11"/>
      <name val="Calibri"/>
      <family val="2"/>
      <scheme val="minor"/>
    </font>
    <font>
      <b/>
      <sz val="10"/>
      <color rgb="FF92D050"/>
      <name val="Calibri"/>
      <family val="2"/>
      <scheme val="minor"/>
    </font>
    <font>
      <sz val="11"/>
      <color theme="1"/>
      <name val="Calibri"/>
      <family val="2"/>
      <scheme val="minor"/>
    </font>
    <font>
      <sz val="11"/>
      <color rgb="FFFF0000"/>
      <name val="Calibri"/>
      <family val="2"/>
      <scheme val="minor"/>
    </font>
    <font>
      <sz val="11"/>
      <color theme="1"/>
      <name val="Calibri"/>
      <family val="2"/>
    </font>
    <font>
      <sz val="12"/>
      <color rgb="FF000000"/>
      <name val="Calibri"/>
      <family val="2"/>
    </font>
    <font>
      <sz val="12"/>
      <color theme="1"/>
      <name val="Calibri"/>
      <family val="2"/>
    </font>
    <font>
      <b/>
      <sz val="12"/>
      <color theme="1"/>
      <name val="Calibri"/>
      <family val="2"/>
    </font>
    <font>
      <sz val="10"/>
      <color indexed="8"/>
      <name val="Arial"/>
      <family val="2"/>
    </font>
    <font>
      <b/>
      <sz val="11"/>
      <color theme="0"/>
      <name val="Arial"/>
      <family val="2"/>
    </font>
    <font>
      <b/>
      <sz val="11"/>
      <color rgb="FFFF0000"/>
      <name val="Calibri"/>
      <family val="2"/>
      <scheme val="minor"/>
    </font>
    <font>
      <b/>
      <sz val="11"/>
      <color rgb="FFFF0000"/>
      <name val="Calibri"/>
      <family val="2"/>
    </font>
    <font>
      <b/>
      <sz val="8"/>
      <color theme="1"/>
      <name val="Calibri"/>
      <family val="2"/>
      <scheme val="minor"/>
    </font>
    <font>
      <b/>
      <sz val="12"/>
      <color theme="1"/>
      <name val="Calibri"/>
      <family val="2"/>
      <scheme val="minor"/>
    </font>
    <font>
      <sz val="12"/>
      <color theme="1"/>
      <name val="Calibri"/>
      <family val="2"/>
      <scheme val="minor"/>
    </font>
    <font>
      <b/>
      <sz val="12"/>
      <color theme="0"/>
      <name val="Calibri"/>
      <family val="2"/>
      <scheme val="minor"/>
    </font>
    <font>
      <sz val="12"/>
      <color indexed="8"/>
      <name val="Calibri"/>
      <family val="2"/>
      <scheme val="minor"/>
    </font>
    <font>
      <sz val="14"/>
      <color rgb="FFFF0000"/>
      <name val="Calibri"/>
      <family val="2"/>
      <scheme val="minor"/>
    </font>
    <font>
      <b/>
      <sz val="12"/>
      <color rgb="FF000000"/>
      <name val="Calibri"/>
      <family val="2"/>
    </font>
    <font>
      <sz val="11"/>
      <name val="Calibri"/>
      <family val="2"/>
      <scheme val="minor"/>
    </font>
    <font>
      <b/>
      <sz val="11"/>
      <color theme="8" tint="-0.249977111117893"/>
      <name val="Calibri"/>
      <family val="2"/>
      <scheme val="minor"/>
    </font>
  </fonts>
  <fills count="12">
    <fill>
      <patternFill patternType="none"/>
    </fill>
    <fill>
      <patternFill patternType="gray125"/>
    </fill>
    <fill>
      <patternFill patternType="solid">
        <fgColor theme="5" tint="0.59999389629810485"/>
        <bgColor indexed="64"/>
      </patternFill>
    </fill>
    <fill>
      <patternFill patternType="solid">
        <fgColor theme="9" tint="0.59999389629810485"/>
        <bgColor indexed="64"/>
      </patternFill>
    </fill>
    <fill>
      <patternFill patternType="solid">
        <fgColor theme="2"/>
        <bgColor indexed="64"/>
      </patternFill>
    </fill>
    <fill>
      <patternFill patternType="solid">
        <fgColor rgb="FFFFFFFF"/>
        <bgColor rgb="FFFFFFFF"/>
      </patternFill>
    </fill>
    <fill>
      <patternFill patternType="solid">
        <fgColor theme="4" tint="-0.249977111117893"/>
        <bgColor indexed="64"/>
      </patternFill>
    </fill>
    <fill>
      <patternFill patternType="solid">
        <fgColor rgb="FFFFFF00"/>
        <bgColor indexed="64"/>
      </patternFill>
    </fill>
    <fill>
      <patternFill patternType="solid">
        <fgColor theme="6" tint="0.39997558519241921"/>
        <bgColor indexed="64"/>
      </patternFill>
    </fill>
    <fill>
      <patternFill patternType="solid">
        <fgColor theme="8" tint="-0.249977111117893"/>
        <bgColor indexed="64"/>
      </patternFill>
    </fill>
    <fill>
      <patternFill patternType="solid">
        <fgColor rgb="FFFFC000"/>
        <bgColor indexed="64"/>
      </patternFill>
    </fill>
    <fill>
      <patternFill patternType="solid">
        <fgColor theme="2" tint="-0.249977111117893"/>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bottom/>
      <diagonal/>
    </border>
  </borders>
  <cellStyleXfs count="2">
    <xf numFmtId="0" fontId="0" fillId="0" borderId="0"/>
    <xf numFmtId="0" fontId="10" fillId="0" borderId="0"/>
  </cellStyleXfs>
  <cellXfs count="94">
    <xf numFmtId="0" fontId="0" fillId="0" borderId="0" xfId="0"/>
    <xf numFmtId="0" fontId="1" fillId="0" borderId="1" xfId="0" applyFont="1"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0" fontId="3" fillId="0" borderId="2" xfId="0" applyFont="1" applyBorder="1" applyAlignment="1">
      <alignment horizontal="center" vertical="center" wrapText="1"/>
    </xf>
    <xf numFmtId="0" fontId="2" fillId="3" borderId="2" xfId="0" applyFont="1" applyFill="1" applyBorder="1" applyAlignment="1">
      <alignment horizontal="center" vertical="center" wrapText="1"/>
    </xf>
    <xf numFmtId="0" fontId="6" fillId="0" borderId="0" xfId="0" applyFont="1"/>
    <xf numFmtId="0" fontId="8" fillId="0" borderId="1" xfId="0" applyFont="1" applyBorder="1" applyAlignment="1">
      <alignment horizontal="center"/>
    </xf>
    <xf numFmtId="164" fontId="7" fillId="5" borderId="1" xfId="0" applyNumberFormat="1" applyFont="1" applyFill="1" applyBorder="1" applyAlignment="1">
      <alignment horizontal="center"/>
    </xf>
    <xf numFmtId="0" fontId="5" fillId="0" borderId="0" xfId="0" applyFont="1"/>
    <xf numFmtId="0" fontId="11" fillId="6" borderId="0" xfId="1" applyFont="1" applyFill="1" applyAlignment="1">
      <alignment horizontal="center" vertical="center"/>
    </xf>
    <xf numFmtId="0" fontId="10" fillId="0" borderId="1" xfId="1" applyBorder="1" applyAlignment="1">
      <alignment horizontal="center" vertical="center" wrapText="1"/>
    </xf>
    <xf numFmtId="15" fontId="10" fillId="0" borderId="1" xfId="1" applyNumberFormat="1" applyBorder="1" applyAlignment="1">
      <alignment horizontal="center" vertical="center" wrapText="1"/>
    </xf>
    <xf numFmtId="0" fontId="10" fillId="0" borderId="1" xfId="1" quotePrefix="1" applyBorder="1" applyAlignment="1">
      <alignment horizontal="center" vertical="center" wrapText="1"/>
    </xf>
    <xf numFmtId="0" fontId="12" fillId="0" borderId="0" xfId="0" applyFont="1"/>
    <xf numFmtId="0" fontId="1" fillId="0" borderId="0" xfId="0" applyFont="1"/>
    <xf numFmtId="0" fontId="12" fillId="0" borderId="4" xfId="0" applyFont="1" applyBorder="1"/>
    <xf numFmtId="0" fontId="0" fillId="0" borderId="8" xfId="0" applyBorder="1"/>
    <xf numFmtId="0" fontId="0" fillId="0" borderId="6" xfId="0" applyBorder="1"/>
    <xf numFmtId="0" fontId="13" fillId="0" borderId="0" xfId="0" applyFont="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1" fillId="0" borderId="12" xfId="0" applyFont="1" applyBorder="1" applyAlignment="1">
      <alignment horizontal="center"/>
    </xf>
    <xf numFmtId="0" fontId="1" fillId="0" borderId="0" xfId="0" applyFont="1" applyAlignment="1">
      <alignment horizontal="center" vertical="center"/>
    </xf>
    <xf numFmtId="0" fontId="1" fillId="0" borderId="12" xfId="0" applyFont="1" applyBorder="1" applyAlignment="1">
      <alignment horizontal="center" vertical="center"/>
    </xf>
    <xf numFmtId="0" fontId="1" fillId="0" borderId="13" xfId="0" applyFont="1" applyBorder="1" applyAlignment="1">
      <alignment horizontal="center" vertical="center"/>
    </xf>
    <xf numFmtId="165" fontId="0" fillId="0" borderId="1" xfId="0" applyNumberFormat="1" applyBorder="1" applyAlignment="1">
      <alignment horizontal="center" vertical="center"/>
    </xf>
    <xf numFmtId="166" fontId="0" fillId="0" borderId="0" xfId="0" applyNumberFormat="1" applyAlignment="1">
      <alignment horizontal="center"/>
    </xf>
    <xf numFmtId="166" fontId="0" fillId="0" borderId="12" xfId="0" applyNumberFormat="1" applyBorder="1" applyAlignment="1">
      <alignment horizontal="center"/>
    </xf>
    <xf numFmtId="166" fontId="0" fillId="0" borderId="13" xfId="0" applyNumberFormat="1" applyBorder="1" applyAlignment="1">
      <alignment horizontal="center"/>
    </xf>
    <xf numFmtId="0" fontId="1" fillId="7" borderId="1" xfId="0" applyFont="1" applyFill="1" applyBorder="1" applyAlignment="1">
      <alignment horizontal="center"/>
    </xf>
    <xf numFmtId="9" fontId="1" fillId="7" borderId="1" xfId="0" applyNumberFormat="1" applyFont="1" applyFill="1" applyBorder="1" applyAlignment="1">
      <alignment horizontal="center" vertical="center"/>
    </xf>
    <xf numFmtId="0" fontId="0" fillId="0" borderId="14" xfId="0" applyBorder="1"/>
    <xf numFmtId="0" fontId="0" fillId="0" borderId="15" xfId="0" applyBorder="1"/>
    <xf numFmtId="0" fontId="0" fillId="0" borderId="16" xfId="0" applyBorder="1"/>
    <xf numFmtId="165" fontId="14" fillId="4" borderId="1" xfId="0" applyNumberFormat="1" applyFont="1" applyFill="1" applyBorder="1" applyAlignment="1">
      <alignment horizontal="center" vertical="center" wrapText="1"/>
    </xf>
    <xf numFmtId="0" fontId="0" fillId="0" borderId="0" xfId="0" applyProtection="1">
      <protection locked="0"/>
    </xf>
    <xf numFmtId="0" fontId="15" fillId="8" borderId="1" xfId="0" applyFont="1" applyFill="1" applyBorder="1" applyAlignment="1" applyProtection="1">
      <alignment horizontal="center" vertical="center"/>
      <protection locked="0"/>
    </xf>
    <xf numFmtId="0" fontId="0" fillId="0" borderId="1" xfId="0" applyBorder="1" applyAlignment="1" applyProtection="1">
      <alignment horizontal="center" vertical="center"/>
      <protection locked="0"/>
    </xf>
    <xf numFmtId="0" fontId="16" fillId="0" borderId="1" xfId="0" applyFont="1" applyBorder="1" applyAlignment="1" applyProtection="1">
      <alignment horizontal="center" vertical="center"/>
      <protection locked="0"/>
    </xf>
    <xf numFmtId="0" fontId="0" fillId="0" borderId="0" xfId="0" applyAlignment="1" applyProtection="1">
      <alignment horizontal="center"/>
      <protection locked="0"/>
    </xf>
    <xf numFmtId="0" fontId="17" fillId="9" borderId="1" xfId="1" applyFont="1" applyFill="1" applyBorder="1" applyAlignment="1" applyProtection="1">
      <alignment horizontal="center" vertical="center"/>
      <protection locked="0"/>
    </xf>
    <xf numFmtId="0" fontId="18" fillId="0" borderId="1" xfId="1" applyFont="1" applyBorder="1" applyAlignment="1" applyProtection="1">
      <alignment horizontal="center" vertical="center" wrapText="1"/>
      <protection locked="0"/>
    </xf>
    <xf numFmtId="0" fontId="0" fillId="0" borderId="1" xfId="0" applyBorder="1" applyAlignment="1" applyProtection="1">
      <alignment horizontal="center"/>
      <protection locked="0"/>
    </xf>
    <xf numFmtId="1" fontId="0" fillId="0" borderId="0" xfId="0" applyNumberFormat="1" applyAlignment="1">
      <alignment horizontal="center" vertical="center"/>
    </xf>
    <xf numFmtId="166" fontId="0" fillId="0" borderId="0" xfId="0" applyNumberFormat="1" applyAlignment="1">
      <alignment horizontal="center" vertical="center"/>
    </xf>
    <xf numFmtId="0" fontId="1" fillId="10" borderId="1" xfId="0" applyFont="1" applyFill="1" applyBorder="1" applyAlignment="1">
      <alignment horizontal="center"/>
    </xf>
    <xf numFmtId="0" fontId="4" fillId="0" borderId="1" xfId="0" applyFont="1" applyBorder="1" applyAlignment="1">
      <alignment horizontal="center"/>
    </xf>
    <xf numFmtId="0" fontId="0" fillId="4" borderId="0" xfId="0" applyFill="1"/>
    <xf numFmtId="0" fontId="1" fillId="4" borderId="0" xfId="0" applyFont="1" applyFill="1"/>
    <xf numFmtId="0" fontId="13" fillId="0" borderId="0" xfId="0" applyFont="1" applyAlignment="1">
      <alignment horizontal="center" vertical="center"/>
    </xf>
    <xf numFmtId="49" fontId="20" fillId="5" borderId="1" xfId="0" applyNumberFormat="1" applyFont="1" applyFill="1" applyBorder="1" applyAlignment="1">
      <alignment horizontal="center"/>
    </xf>
    <xf numFmtId="0" fontId="9" fillId="0" borderId="1" xfId="0" applyFont="1" applyBorder="1" applyAlignment="1">
      <alignment horizontal="center"/>
    </xf>
    <xf numFmtId="0" fontId="3" fillId="0" borderId="0" xfId="0" applyFont="1" applyAlignment="1">
      <alignment horizontal="center" vertical="center" wrapText="1"/>
    </xf>
    <xf numFmtId="0" fontId="0" fillId="0" borderId="1" xfId="0" applyBorder="1"/>
    <xf numFmtId="0" fontId="0" fillId="0" borderId="1" xfId="0" applyBorder="1" applyAlignment="1">
      <alignment vertical="center"/>
    </xf>
    <xf numFmtId="0" fontId="12" fillId="0" borderId="19" xfId="0" applyFont="1" applyBorder="1" applyAlignment="1">
      <alignment horizontal="center" vertical="center" wrapText="1"/>
    </xf>
    <xf numFmtId="0" fontId="19" fillId="7" borderId="0" xfId="0" applyFont="1" applyFill="1" applyAlignment="1" applyProtection="1">
      <alignment horizontal="center" vertical="center" wrapText="1"/>
      <protection locked="0"/>
    </xf>
    <xf numFmtId="0" fontId="13" fillId="0" borderId="0" xfId="0" applyFont="1" applyAlignment="1">
      <alignment wrapText="1"/>
    </xf>
    <xf numFmtId="0" fontId="21" fillId="11" borderId="1" xfId="0" applyFont="1" applyFill="1" applyBorder="1" applyAlignment="1">
      <alignment horizontal="center"/>
    </xf>
    <xf numFmtId="0" fontId="12" fillId="0" borderId="0" xfId="0" applyFont="1" applyAlignment="1">
      <alignment horizontal="center"/>
    </xf>
    <xf numFmtId="0" fontId="0" fillId="7" borderId="0" xfId="0" applyFill="1" applyAlignment="1" applyProtection="1">
      <alignment horizontal="center" vertical="center" wrapText="1"/>
      <protection locked="0"/>
    </xf>
    <xf numFmtId="0" fontId="5" fillId="7" borderId="0" xfId="0" applyFont="1" applyFill="1" applyAlignment="1" applyProtection="1">
      <alignment horizontal="center" vertical="center" wrapText="1"/>
      <protection locked="0"/>
    </xf>
    <xf numFmtId="0" fontId="5" fillId="0" borderId="0" xfId="0" applyFont="1" applyAlignment="1">
      <alignment horizontal="center"/>
    </xf>
    <xf numFmtId="0" fontId="0" fillId="0" borderId="0" xfId="0" applyAlignment="1">
      <alignment horizontal="center"/>
    </xf>
    <xf numFmtId="0" fontId="1" fillId="7" borderId="0" xfId="0" applyFont="1" applyFill="1" applyAlignment="1">
      <alignment horizontal="center" vertical="center" wrapText="1"/>
    </xf>
    <xf numFmtId="0" fontId="5" fillId="7" borderId="0" xfId="0" applyFont="1" applyFill="1" applyAlignment="1">
      <alignment horizontal="center" vertical="center"/>
    </xf>
    <xf numFmtId="0" fontId="13" fillId="0" borderId="0" xfId="0" applyFont="1" applyAlignment="1">
      <alignment horizontal="center" vertical="center"/>
    </xf>
    <xf numFmtId="0" fontId="9" fillId="0" borderId="0" xfId="0" applyFont="1" applyAlignment="1">
      <alignment horizontal="left"/>
    </xf>
    <xf numFmtId="0" fontId="0" fillId="4" borderId="5" xfId="0" applyFill="1" applyBorder="1" applyAlignment="1">
      <alignment horizontal="center"/>
    </xf>
    <xf numFmtId="0" fontId="0" fillId="4" borderId="6" xfId="0" applyFill="1" applyBorder="1" applyAlignment="1">
      <alignment horizontal="center"/>
    </xf>
    <xf numFmtId="0" fontId="1" fillId="3" borderId="5" xfId="0" applyFont="1" applyFill="1" applyBorder="1" applyAlignment="1">
      <alignment horizontal="center" vertical="center"/>
    </xf>
    <xf numFmtId="0" fontId="1" fillId="3" borderId="6" xfId="0" applyFont="1" applyFill="1" applyBorder="1" applyAlignment="1">
      <alignment horizontal="center" vertical="center"/>
    </xf>
    <xf numFmtId="0" fontId="1" fillId="2" borderId="17" xfId="0" applyFont="1" applyFill="1" applyBorder="1" applyAlignment="1">
      <alignment horizontal="center" vertical="center"/>
    </xf>
    <xf numFmtId="0" fontId="1" fillId="2" borderId="18" xfId="0" applyFont="1" applyFill="1" applyBorder="1" applyAlignment="1">
      <alignment horizontal="center" vertical="center"/>
    </xf>
    <xf numFmtId="0" fontId="5" fillId="0" borderId="0" xfId="0" applyFont="1" applyAlignment="1">
      <alignment horizontal="center" vertical="center" wrapText="1"/>
    </xf>
    <xf numFmtId="0" fontId="1" fillId="0" borderId="2" xfId="0" applyFont="1" applyBorder="1" applyAlignment="1">
      <alignment horizontal="center" vertical="center"/>
    </xf>
    <xf numFmtId="0" fontId="1" fillId="0" borderId="7" xfId="0" applyFont="1" applyBorder="1" applyAlignment="1">
      <alignment horizontal="center" vertical="center"/>
    </xf>
    <xf numFmtId="0" fontId="22" fillId="0" borderId="2" xfId="0" applyFont="1" applyBorder="1" applyAlignment="1" applyProtection="1">
      <alignment horizontal="center" vertical="center" wrapText="1"/>
      <protection locked="0"/>
    </xf>
    <xf numFmtId="0" fontId="22" fillId="0" borderId="7" xfId="0" applyFont="1" applyBorder="1" applyAlignment="1" applyProtection="1">
      <alignment horizontal="center" vertical="center" wrapText="1"/>
      <protection locked="0"/>
    </xf>
    <xf numFmtId="0" fontId="12" fillId="0" borderId="1" xfId="0" applyFont="1" applyBorder="1" applyAlignment="1">
      <alignment horizontal="center" vertical="center" wrapText="1"/>
    </xf>
    <xf numFmtId="0" fontId="19" fillId="7" borderId="0" xfId="0" applyFont="1" applyFill="1" applyAlignment="1" applyProtection="1">
      <alignment horizontal="center" vertical="center" wrapText="1"/>
      <protection locked="0"/>
    </xf>
    <xf numFmtId="0" fontId="12" fillId="0" borderId="0" xfId="0" applyFont="1" applyAlignment="1">
      <alignment horizontal="center" vertical="center" wrapText="1"/>
    </xf>
    <xf numFmtId="0" fontId="12" fillId="0" borderId="0" xfId="0" applyFont="1" applyAlignment="1">
      <alignment horizontal="center" vertical="center"/>
    </xf>
    <xf numFmtId="0" fontId="12" fillId="0" borderId="3" xfId="0" applyFont="1" applyBorder="1" applyAlignment="1">
      <alignment horizontal="center" vertical="center"/>
    </xf>
    <xf numFmtId="0" fontId="0" fillId="7" borderId="0" xfId="0" applyFill="1"/>
    <xf numFmtId="15" fontId="10" fillId="0" borderId="1" xfId="1" quotePrefix="1" applyNumberFormat="1" applyBorder="1" applyAlignment="1">
      <alignment horizontal="center" vertical="center" wrapText="1"/>
    </xf>
    <xf numFmtId="0" fontId="0" fillId="0" borderId="0" xfId="0" pivotButton="1"/>
    <xf numFmtId="0" fontId="0" fillId="0" borderId="0" xfId="0" applyAlignment="1">
      <alignment horizontal="left"/>
    </xf>
    <xf numFmtId="0" fontId="0" fillId="0" borderId="0" xfId="0" applyNumberFormat="1"/>
    <xf numFmtId="10" fontId="0" fillId="0" borderId="0" xfId="0" applyNumberFormat="1"/>
  </cellXfs>
  <cellStyles count="2">
    <cellStyle name="Normal" xfId="0" builtinId="0"/>
    <cellStyle name="Normal_Sheet1_1" xfId="1" xr:uid="{BF5ED89D-D9EA-4963-AB9B-61FE3B168DFE}"/>
  </cellStyles>
  <dxfs count="4">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[INNAYA Excel Task Sheet.xlsx]Revenue in %!PivotTable1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in %'!$B$3</c:f>
              <c:strCache>
                <c:ptCount val="1"/>
                <c:pt idx="0">
                  <c:v>Total</c:v>
                </c:pt>
              </c:strCache>
            </c:strRef>
          </c:tx>
          <c:spPr>
            <a:solidFill>
              <a:schemeClr val="accent1"/>
            </a:solidFill>
            <a:ln>
              <a:noFill/>
            </a:ln>
            <a:effectLst/>
          </c:spPr>
          <c:invertIfNegative val="0"/>
          <c:cat>
            <c:strRef>
              <c:f>'Revenue in %'!$A$4:$A$10</c:f>
              <c:strCache>
                <c:ptCount val="6"/>
                <c:pt idx="0">
                  <c:v>Baby Care</c:v>
                </c:pt>
                <c:pt idx="1">
                  <c:v>Beauty &amp; Personal Care</c:v>
                </c:pt>
                <c:pt idx="2">
                  <c:v>Grocery &amp; Kitchen</c:v>
                </c:pt>
                <c:pt idx="3">
                  <c:v>Household Essentials</c:v>
                </c:pt>
                <c:pt idx="4">
                  <c:v>Pet Supplies</c:v>
                </c:pt>
                <c:pt idx="5">
                  <c:v>Snacks &amp; Drinks</c:v>
                </c:pt>
              </c:strCache>
            </c:strRef>
          </c:cat>
          <c:val>
            <c:numRef>
              <c:f>'Revenue in %'!$B$4:$B$10</c:f>
              <c:numCache>
                <c:formatCode>0.00%</c:formatCode>
                <c:ptCount val="6"/>
                <c:pt idx="0">
                  <c:v>9.4139683887109027E-2</c:v>
                </c:pt>
                <c:pt idx="1">
                  <c:v>0.10240966958588608</c:v>
                </c:pt>
                <c:pt idx="2">
                  <c:v>0.20096019916965857</c:v>
                </c:pt>
                <c:pt idx="3">
                  <c:v>0.22245079528318903</c:v>
                </c:pt>
                <c:pt idx="4">
                  <c:v>0.28162526112479724</c:v>
                </c:pt>
                <c:pt idx="5">
                  <c:v>9.8414390949360081E-2</c:v>
                </c:pt>
              </c:numCache>
            </c:numRef>
          </c:val>
          <c:extLst>
            <c:ext xmlns:c16="http://schemas.microsoft.com/office/drawing/2014/chart" uri="{C3380CC4-5D6E-409C-BE32-E72D297353CC}">
              <c16:uniqueId val="{00000000-0A25-4333-9AEB-A61A729AD300}"/>
            </c:ext>
          </c:extLst>
        </c:ser>
        <c:dLbls>
          <c:showLegendKey val="0"/>
          <c:showVal val="0"/>
          <c:showCatName val="0"/>
          <c:showSerName val="0"/>
          <c:showPercent val="0"/>
          <c:showBubbleSize val="0"/>
        </c:dLbls>
        <c:gapWidth val="219"/>
        <c:overlap val="-27"/>
        <c:axId val="523117184"/>
        <c:axId val="307674096"/>
      </c:barChart>
      <c:catAx>
        <c:axId val="523117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674096"/>
        <c:crosses val="autoZero"/>
        <c:auto val="1"/>
        <c:lblAlgn val="ctr"/>
        <c:lblOffset val="100"/>
        <c:noMultiLvlLbl val="0"/>
      </c:catAx>
      <c:valAx>
        <c:axId val="3076740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117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[INNAYA Excel Task Sheet.xlsx]Revenue in dubai!PivotTable2</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'Revenue in dubai'!$B$3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dPt>
          <c:dPt>
            <c:idx val="1"/>
            <c:bubble3D val="0"/>
            <c:spPr>
              <a:solidFill>
                <a:schemeClr val="accent2"/>
              </a:solidFill>
              <a:ln>
                <a:noFill/>
              </a:ln>
              <a:effectLst>
                <a:outerShdw blurRad="254000" sx="102000" sy="102000" algn="ctr" rotWithShape="0">
                  <a:prstClr val="black">
                    <a:alpha val="20000"/>
                  </a:prstClr>
                </a:outerShdw>
              </a:effectLst>
              <a:sp3d/>
            </c:spPr>
          </c:dPt>
          <c:dPt>
            <c:idx val="2"/>
            <c:bubble3D val="0"/>
            <c:spPr>
              <a:solidFill>
                <a:schemeClr val="accent3"/>
              </a:solidFill>
              <a:ln>
                <a:noFill/>
              </a:ln>
              <a:effectLst>
                <a:outerShdw blurRad="254000" sx="102000" sy="102000" algn="ctr" rotWithShape="0">
                  <a:prstClr val="black">
                    <a:alpha val="20000"/>
                  </a:prstClr>
                </a:outerShdw>
              </a:effectLst>
              <a:sp3d/>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'Revenue in dubai'!$A$4:$A$7</c:f>
              <c:strCache>
                <c:ptCount val="3"/>
                <c:pt idx="0">
                  <c:v>Grocery &amp; Kitchen</c:v>
                </c:pt>
                <c:pt idx="1">
                  <c:v>Household Essentials</c:v>
                </c:pt>
                <c:pt idx="2">
                  <c:v>Pet Supplies</c:v>
                </c:pt>
              </c:strCache>
            </c:strRef>
          </c:cat>
          <c:val>
            <c:numRef>
              <c:f>'Revenue in dubai'!$B$4:$B$7</c:f>
              <c:numCache>
                <c:formatCode>General</c:formatCode>
                <c:ptCount val="3"/>
                <c:pt idx="0">
                  <c:v>862863</c:v>
                </c:pt>
                <c:pt idx="1">
                  <c:v>1382245</c:v>
                </c:pt>
                <c:pt idx="2">
                  <c:v>1417070</c:v>
                </c:pt>
              </c:numCache>
            </c:numRef>
          </c:val>
          <c:extLst>
            <c:ext xmlns:c16="http://schemas.microsoft.com/office/drawing/2014/chart" uri="{C3380CC4-5D6E-409C-BE32-E72D297353CC}">
              <c16:uniqueId val="{00000000-4E0E-4C5A-9323-80A3BD1D42DC}"/>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3.emf"/></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19050</xdr:colOff>
      <xdr:row>4</xdr:row>
      <xdr:rowOff>180975</xdr:rowOff>
    </xdr:from>
    <xdr:to>
      <xdr:col>10</xdr:col>
      <xdr:colOff>9525</xdr:colOff>
      <xdr:row>10</xdr:row>
      <xdr:rowOff>0</xdr:rowOff>
    </xdr:to>
    <xdr:pic>
      <xdr:nvPicPr>
        <xdr:cNvPr id="2" name="Picture 1">
          <a:extLst>
            <a:ext uri="{FF2B5EF4-FFF2-40B4-BE49-F238E27FC236}">
              <a16:creationId xmlns:a16="http://schemas.microsoft.com/office/drawing/2014/main" id="{DBADDBE3-5523-40F0-A4AB-9B7615343A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98821" y="790575"/>
          <a:ext cx="4742090" cy="9293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619125</xdr:colOff>
      <xdr:row>14</xdr:row>
      <xdr:rowOff>0</xdr:rowOff>
    </xdr:from>
    <xdr:to>
      <xdr:col>10</xdr:col>
      <xdr:colOff>28575</xdr:colOff>
      <xdr:row>19</xdr:row>
      <xdr:rowOff>9525</xdr:rowOff>
    </xdr:to>
    <xdr:pic>
      <xdr:nvPicPr>
        <xdr:cNvPr id="3" name="Picture 2">
          <a:extLst>
            <a:ext uri="{FF2B5EF4-FFF2-40B4-BE49-F238E27FC236}">
              <a16:creationId xmlns:a16="http://schemas.microsoft.com/office/drawing/2014/main" id="{2A106653-A3B2-4F2F-B67C-184DC25CBF1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29425" y="2656114"/>
          <a:ext cx="4830536" cy="962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6</xdr:col>
      <xdr:colOff>152400</xdr:colOff>
      <xdr:row>1</xdr:row>
      <xdr:rowOff>144781</xdr:rowOff>
    </xdr:from>
    <xdr:to>
      <xdr:col>7</xdr:col>
      <xdr:colOff>1257300</xdr:colOff>
      <xdr:row>19</xdr:row>
      <xdr:rowOff>167641</xdr:rowOff>
    </xdr:to>
    <mc:AlternateContent xmlns:mc="http://schemas.openxmlformats.org/markup-compatibility/2006">
      <mc:Choice xmlns:sle15="http://schemas.microsoft.com/office/drawing/2012/slicer" Requires="sle15">
        <xdr:graphicFrame macro="">
          <xdr:nvGraphicFramePr>
            <xdr:cNvPr id="2" name="Month">
              <a:extLst>
                <a:ext uri="{FF2B5EF4-FFF2-40B4-BE49-F238E27FC236}">
                  <a16:creationId xmlns:a16="http://schemas.microsoft.com/office/drawing/2014/main" id="{B91C3864-3966-43AD-6843-B918F9C6285F}"/>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6286500" y="327661"/>
              <a:ext cx="1828800" cy="75438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1318260</xdr:colOff>
      <xdr:row>1</xdr:row>
      <xdr:rowOff>160021</xdr:rowOff>
    </xdr:from>
    <xdr:to>
      <xdr:col>10</xdr:col>
      <xdr:colOff>434340</xdr:colOff>
      <xdr:row>20</xdr:row>
      <xdr:rowOff>53340</xdr:rowOff>
    </xdr:to>
    <mc:AlternateContent xmlns:mc="http://schemas.openxmlformats.org/markup-compatibility/2006">
      <mc:Choice xmlns:sle15="http://schemas.microsoft.com/office/drawing/2012/slicer" Requires="sle15">
        <xdr:graphicFrame macro="">
          <xdr:nvGraphicFramePr>
            <xdr:cNvPr id="3" name="City">
              <a:extLst>
                <a:ext uri="{FF2B5EF4-FFF2-40B4-BE49-F238E27FC236}">
                  <a16:creationId xmlns:a16="http://schemas.microsoft.com/office/drawing/2014/main" id="{2E2F07F3-D79C-1B00-858E-91DD77BB057C}"/>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8176260" y="342901"/>
              <a:ext cx="1828800" cy="8077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0</xdr:colOff>
      <xdr:row>4</xdr:row>
      <xdr:rowOff>184583</xdr:rowOff>
    </xdr:from>
    <xdr:to>
      <xdr:col>9</xdr:col>
      <xdr:colOff>14199</xdr:colOff>
      <xdr:row>10</xdr:row>
      <xdr:rowOff>42596</xdr:rowOff>
    </xdr:to>
    <xdr:pic>
      <xdr:nvPicPr>
        <xdr:cNvPr id="5" name="Picture 4">
          <a:extLst>
            <a:ext uri="{FF2B5EF4-FFF2-40B4-BE49-F238E27FC236}">
              <a16:creationId xmlns:a16="http://schemas.microsoft.com/office/drawing/2014/main" id="{AA3E96FC-879A-E3DC-BE6D-3F22B64B7B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33255" y="1254223"/>
          <a:ext cx="1746447" cy="12684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579120</xdr:colOff>
      <xdr:row>1</xdr:row>
      <xdr:rowOff>137160</xdr:rowOff>
    </xdr:from>
    <xdr:to>
      <xdr:col>6</xdr:col>
      <xdr:colOff>449580</xdr:colOff>
      <xdr:row>15</xdr:row>
      <xdr:rowOff>0</xdr:rowOff>
    </xdr:to>
    <xdr:graphicFrame macro="">
      <xdr:nvGraphicFramePr>
        <xdr:cNvPr id="2" name="Chart 1">
          <a:extLst>
            <a:ext uri="{FF2B5EF4-FFF2-40B4-BE49-F238E27FC236}">
              <a16:creationId xmlns:a16="http://schemas.microsoft.com/office/drawing/2014/main" id="{1DD8E319-1898-A93D-4D58-1E7EB729D4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358140</xdr:colOff>
      <xdr:row>1</xdr:row>
      <xdr:rowOff>45720</xdr:rowOff>
    </xdr:from>
    <xdr:to>
      <xdr:col>8</xdr:col>
      <xdr:colOff>45720</xdr:colOff>
      <xdr:row>12</xdr:row>
      <xdr:rowOff>129540</xdr:rowOff>
    </xdr:to>
    <xdr:graphicFrame macro="">
      <xdr:nvGraphicFramePr>
        <xdr:cNvPr id="2" name="Chart 1">
          <a:extLst>
            <a:ext uri="{FF2B5EF4-FFF2-40B4-BE49-F238E27FC236}">
              <a16:creationId xmlns:a16="http://schemas.microsoft.com/office/drawing/2014/main" id="{C7B5970E-2A6A-46BA-52EA-F50DD6CB24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182880</xdr:colOff>
      <xdr:row>1</xdr:row>
      <xdr:rowOff>106681</xdr:rowOff>
    </xdr:from>
    <xdr:to>
      <xdr:col>11</xdr:col>
      <xdr:colOff>182880</xdr:colOff>
      <xdr:row>11</xdr:row>
      <xdr:rowOff>45720</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9E64E9D1-86D7-187A-69B8-77B0AEC7171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758940" y="289561"/>
              <a:ext cx="1828800" cy="17678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600075</xdr:colOff>
      <xdr:row>1</xdr:row>
      <xdr:rowOff>1060450</xdr:rowOff>
    </xdr:from>
    <xdr:to>
      <xdr:col>11</xdr:col>
      <xdr:colOff>133350</xdr:colOff>
      <xdr:row>5</xdr:row>
      <xdr:rowOff>117662</xdr:rowOff>
    </xdr:to>
    <xdr:pic>
      <xdr:nvPicPr>
        <xdr:cNvPr id="2" name="Picture 1">
          <a:extLst>
            <a:ext uri="{FF2B5EF4-FFF2-40B4-BE49-F238E27FC236}">
              <a16:creationId xmlns:a16="http://schemas.microsoft.com/office/drawing/2014/main" id="{1013373C-2DA1-4839-9203-0BC6C2204192}"/>
            </a:ext>
          </a:extLst>
        </xdr:cNvPr>
        <xdr:cNvPicPr>
          <a:picLocks noChangeAspect="1"/>
        </xdr:cNvPicPr>
      </xdr:nvPicPr>
      <xdr:blipFill rotWithShape="1">
        <a:blip xmlns:r="http://schemas.openxmlformats.org/officeDocument/2006/relationships" r:embed="rId1"/>
        <a:srcRect l="13986" t="40890" r="57573" b="35278"/>
        <a:stretch/>
      </xdr:blipFill>
      <xdr:spPr>
        <a:xfrm>
          <a:off x="5603875" y="1244600"/>
          <a:ext cx="3190875" cy="155276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ucheta%20sankhe\Desktop\All%20Exercises%20Excel2\Vstack.xlsx" TargetMode="External"/><Relationship Id="rId1" Type="http://schemas.openxmlformats.org/officeDocument/2006/relationships/externalLinkPath" Target="file:///C:\Users\sucheta%20sankhe\Desktop\All%20Exercises%20Excel2\Vstack.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Dhananjay\MS%20Office\Excel\Excel%20Program%20Curriculum\Exercises%20for%20Participants\All%20Exercises\ExcelHack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Dhananjay\MS%20Office\Excel\Excel%20Program%20Curriculum\Exercises%20for%20Participants\All%20Exercises%20Excel\08%20Practice%20file%20if%20condition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1"/>
      <sheetName val="Data 2"/>
      <sheetName val="Sheet3"/>
    </sheetNames>
    <sheetDataSet>
      <sheetData sheetId="0"/>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lcome to Excel Hacks"/>
      <sheetName val="01 - Text Box Linking"/>
      <sheetName val="02 - Empty Rows"/>
      <sheetName val="03 - Blank Cells"/>
      <sheetName val="04 - Camera Tool"/>
      <sheetName val="2013"/>
      <sheetName val="2014"/>
      <sheetName val="2015"/>
      <sheetName val="05 - Navigate Sheets"/>
      <sheetName val="06 - Navigate Books"/>
      <sheetName val="07 - Find Formula"/>
      <sheetName val="08 - Chart Average"/>
      <sheetName val="09 - Clipboard"/>
      <sheetName val="10 - Custom AutoFills"/>
      <sheetName val="11 - Status Bar"/>
      <sheetName val="12 - Data Entry Shortcuts"/>
      <sheetName val="13 - Group Worksheets 01"/>
      <sheetName val="13 - Group Worksheets 02"/>
      <sheetName val="13 - Group Worksheets 03"/>
      <sheetName val="Tools"/>
      <sheetName val="17 - DATEDIF Function"/>
      <sheetName val="18 - SUMPRODUCT Function"/>
      <sheetName val="19 - Excel Array Formulas"/>
      <sheetName val="20 - SUM Product with Criteria"/>
      <sheetName val="21 - Table of Contents VBA"/>
      <sheetName val="22 - Dynamic Range Offset"/>
      <sheetName val="23 - Spin Controls"/>
      <sheetName val="24 - Import From Web"/>
      <sheetName val="25 - Transpose Data"/>
      <sheetName val="26 - F9 Evaluate"/>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ow r="2">
          <cell r="A2">
            <v>4</v>
          </cell>
        </row>
        <row r="6">
          <cell r="B6">
            <v>4520</v>
          </cell>
        </row>
      </sheetData>
      <sheetData sheetId="27" refreshError="1"/>
      <sheetData sheetId="28" refreshError="1"/>
      <sheetData sheetId="29" refreshError="1"/>
      <sheetData sheetId="3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and Sales Data"/>
      <sheetName val="IF AND Function "/>
      <sheetName val="IF OR Function"/>
    </sheetNames>
    <sheetDataSet>
      <sheetData sheetId="0" refreshError="1"/>
      <sheetData sheetId="1" refreshError="1"/>
      <sheetData sheetId="2">
        <row r="5">
          <cell r="B5">
            <v>9550</v>
          </cell>
          <cell r="C5">
            <v>9230</v>
          </cell>
          <cell r="D5">
            <v>8500</v>
          </cell>
          <cell r="E5">
            <v>8965</v>
          </cell>
        </row>
        <row r="6">
          <cell r="B6">
            <v>5975</v>
          </cell>
          <cell r="C6">
            <v>6900</v>
          </cell>
          <cell r="D6">
            <v>8500</v>
          </cell>
          <cell r="E6">
            <v>10100</v>
          </cell>
        </row>
        <row r="7">
          <cell r="B7">
            <v>7425</v>
          </cell>
          <cell r="C7">
            <v>8580</v>
          </cell>
          <cell r="D7">
            <v>9910</v>
          </cell>
          <cell r="E7">
            <v>7512</v>
          </cell>
        </row>
        <row r="8">
          <cell r="B8">
            <v>9560</v>
          </cell>
          <cell r="C8">
            <v>10150</v>
          </cell>
          <cell r="D8">
            <v>10200</v>
          </cell>
          <cell r="E8">
            <v>9795</v>
          </cell>
        </row>
        <row r="9">
          <cell r="B9">
            <v>7892</v>
          </cell>
          <cell r="C9">
            <v>7695</v>
          </cell>
          <cell r="D9">
            <v>9520</v>
          </cell>
          <cell r="E9">
            <v>10252</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NNAYA IMAM" refreshedDate="46284.628698148146" createdVersion="8" refreshedVersion="8" minRefreshableVersion="3" recordCount="279" xr:uid="{9203C2EA-92BA-447C-A468-4D47C27142AB}">
  <cacheSource type="worksheet">
    <worksheetSource ref="C3:G282" sheet="Pivot"/>
  </cacheSource>
  <cacheFields count="5">
    <cacheField name="Order Date" numFmtId="164">
      <sharedItems containsSemiMixedTypes="0" containsNonDate="0" containsDate="1" containsString="0" minDate="2011-01-10T00:00:00" maxDate="2014-12-24T00:00:00"/>
    </cacheField>
    <cacheField name="Region" numFmtId="0">
      <sharedItems count="16">
        <s v="Munich"/>
        <s v="Dubai"/>
        <s v="Moscow"/>
        <s v="Mumbai"/>
        <s v="London"/>
        <s v="Kochi"/>
        <s v="Chennai"/>
        <s v="Sydney"/>
        <s v="Chicago"/>
        <s v="Colombo"/>
        <s v="Bologna"/>
        <s v="Auckland"/>
        <s v="Paris"/>
        <s v="Mexico"/>
        <s v="Coimbatore"/>
        <s v="Tokyo"/>
      </sharedItems>
    </cacheField>
    <cacheField name="Segment" numFmtId="0">
      <sharedItems count="6">
        <s v="Beauty &amp; Personal Care"/>
        <s v="Household Essentials"/>
        <s v="Baby Care"/>
        <s v="Pet Supplies"/>
        <s v="Grocery &amp; Kitchen"/>
        <s v="Snacks &amp; Drinks"/>
      </sharedItems>
    </cacheField>
    <cacheField name="Revenue Generated" numFmtId="0">
      <sharedItems containsSemiMixedTypes="0" containsString="0" containsNumber="1" containsInteger="1" minValue="102919" maxValue="499952" count="279">
        <n v="443713"/>
        <n v="250345"/>
        <n v="285916"/>
        <n v="416911"/>
        <n v="103438"/>
        <n v="448151"/>
        <n v="404850"/>
        <n v="200894"/>
        <n v="243379"/>
        <n v="162039"/>
        <n v="210096"/>
        <n v="143097"/>
        <n v="438414"/>
        <n v="291172"/>
        <n v="274250"/>
        <n v="434277"/>
        <n v="227813"/>
        <n v="346929"/>
        <n v="148026"/>
        <n v="131788"/>
        <n v="250183"/>
        <n v="208963"/>
        <n v="346632"/>
        <n v="277498"/>
        <n v="478017"/>
        <n v="215980"/>
        <n v="240696"/>
        <n v="214757"/>
        <n v="207730"/>
        <n v="106652"/>
        <n v="242923"/>
        <n v="259037"/>
        <n v="206583"/>
        <n v="289253"/>
        <n v="201386"/>
        <n v="479975"/>
        <n v="148120"/>
        <n v="215444"/>
        <n v="302223"/>
        <n v="129110"/>
        <n v="247739"/>
        <n v="346096"/>
        <n v="176250"/>
        <n v="356981"/>
        <n v="118743"/>
        <n v="401662"/>
        <n v="117061"/>
        <n v="141543"/>
        <n v="306109"/>
        <n v="290678"/>
        <n v="454340"/>
        <n v="348415"/>
        <n v="133386"/>
        <n v="369529"/>
        <n v="389102"/>
        <n v="355421"/>
        <n v="163980"/>
        <n v="349808"/>
        <n v="415748"/>
        <n v="330624"/>
        <n v="245239"/>
        <n v="487341"/>
        <n v="235628"/>
        <n v="474502"/>
        <n v="393703"/>
        <n v="128520"/>
        <n v="200792"/>
        <n v="147865"/>
        <n v="270671"/>
        <n v="440257"/>
        <n v="262110"/>
        <n v="155482"/>
        <n v="146640"/>
        <n v="400112"/>
        <n v="129923"/>
        <n v="357675"/>
        <n v="362059"/>
        <n v="264232"/>
        <n v="161483"/>
        <n v="104558"/>
        <n v="479383"/>
        <n v="433335"/>
        <n v="398180"/>
        <n v="137481"/>
        <n v="169751"/>
        <n v="391833"/>
        <n v="499820"/>
        <n v="150150"/>
        <n v="496334"/>
        <n v="352914"/>
        <n v="158470"/>
        <n v="250100"/>
        <n v="130882"/>
        <n v="450084"/>
        <n v="377734"/>
        <n v="167380"/>
        <n v="438072"/>
        <n v="258185"/>
        <n v="398090"/>
        <n v="464016"/>
        <n v="125173"/>
        <n v="497185"/>
        <n v="264923"/>
        <n v="481602"/>
        <n v="476826"/>
        <n v="305628"/>
        <n v="283796"/>
        <n v="371060"/>
        <n v="245115"/>
        <n v="319316"/>
        <n v="462989"/>
        <n v="163846"/>
        <n v="464770"/>
        <n v="491037"/>
        <n v="446005"/>
        <n v="159600"/>
        <n v="112161"/>
        <n v="292949"/>
        <n v="322400"/>
        <n v="244315"/>
        <n v="476029"/>
        <n v="345421"/>
        <n v="140907"/>
        <n v="166069"/>
        <n v="136882"/>
        <n v="188093"/>
        <n v="223403"/>
        <n v="110865"/>
        <n v="426975"/>
        <n v="292346"/>
        <n v="169512"/>
        <n v="126385"/>
        <n v="200654"/>
        <n v="130685"/>
        <n v="482125"/>
        <n v="393585"/>
        <n v="254301"/>
        <n v="370295"/>
        <n v="264034"/>
        <n v="425818"/>
        <n v="150193"/>
        <n v="143870"/>
        <n v="170970"/>
        <n v="359358"/>
        <n v="318475"/>
        <n v="291827"/>
        <n v="117470"/>
        <n v="475623"/>
        <n v="287714"/>
        <n v="410242"/>
        <n v="257929"/>
        <n v="464257"/>
        <n v="326537"/>
        <n v="263356"/>
        <n v="283059"/>
        <n v="174449"/>
        <n v="297114"/>
        <n v="260981"/>
        <n v="129407"/>
        <n v="103482"/>
        <n v="479758"/>
        <n v="271912"/>
        <n v="164937"/>
        <n v="495289"/>
        <n v="217148"/>
        <n v="200871"/>
        <n v="345905"/>
        <n v="158038"/>
        <n v="156530"/>
        <n v="412494"/>
        <n v="208135"/>
        <n v="245994"/>
        <n v="142146"/>
        <n v="218327"/>
        <n v="377876"/>
        <n v="346211"/>
        <n v="288361"/>
        <n v="452783"/>
        <n v="471831"/>
        <n v="379454"/>
        <n v="127683"/>
        <n v="308340"/>
        <n v="383067"/>
        <n v="458317"/>
        <n v="103279"/>
        <n v="190940"/>
        <n v="274121"/>
        <n v="434698"/>
        <n v="188527"/>
        <n v="218011"/>
        <n v="110662"/>
        <n v="400944"/>
        <n v="313909"/>
        <n v="231618"/>
        <n v="267795"/>
        <n v="362504"/>
        <n v="226986"/>
        <n v="405957"/>
        <n v="256038"/>
        <n v="173012"/>
        <n v="491350"/>
        <n v="281247"/>
        <n v="236388"/>
        <n v="265718"/>
        <n v="370810"/>
        <n v="152928"/>
        <n v="337789"/>
        <n v="401477"/>
        <n v="275776"/>
        <n v="122309"/>
        <n v="499952"/>
        <n v="496609"/>
        <n v="425827"/>
        <n v="338772"/>
        <n v="370649"/>
        <n v="495691"/>
        <n v="380747"/>
        <n v="279706"/>
        <n v="404080"/>
        <n v="273119"/>
        <n v="264066"/>
        <n v="102919"/>
        <n v="357724"/>
        <n v="305355"/>
        <n v="403298"/>
        <n v="171352"/>
        <n v="244752"/>
        <n v="477480"/>
        <n v="380321"/>
        <n v="451663"/>
        <n v="186931"/>
        <n v="336822"/>
        <n v="145235"/>
        <n v="337823"/>
        <n v="156807"/>
        <n v="459558"/>
        <n v="498726"/>
        <n v="264353"/>
        <n v="416711"/>
        <n v="137563"/>
        <n v="461411"/>
        <n v="110431"/>
        <n v="382372"/>
        <n v="465459"/>
        <n v="260223"/>
        <n v="247033"/>
        <n v="188357"/>
        <n v="483505"/>
        <n v="248963"/>
        <n v="189072"/>
        <n v="194094"/>
        <n v="412591"/>
        <n v="115167"/>
        <n v="450524"/>
        <n v="479401"/>
        <n v="263282"/>
        <n v="335768"/>
        <n v="344460"/>
        <n v="346959"/>
        <n v="233039"/>
        <n v="359274"/>
        <n v="261398"/>
        <n v="416906"/>
        <n v="182052"/>
        <n v="169837"/>
        <n v="387742"/>
        <n v="302843"/>
        <n v="408024"/>
        <n v="463177"/>
        <n v="154917"/>
        <n v="431670"/>
        <n v="305067"/>
        <n v="361859"/>
        <n v="286936"/>
        <n v="360864"/>
        <n v="415145"/>
        <n v="446259"/>
        <n v="141027"/>
        <n v="413960"/>
      </sharedItems>
    </cacheField>
    <cacheField name="Products Sold" numFmtId="0">
      <sharedItems containsSemiMixedTypes="0" containsString="0" containsNumber="1" containsInteger="1" minValue="100" maxValue="498"/>
    </cacheField>
  </cacheFields>
  <extLst>
    <ext xmlns:x14="http://schemas.microsoft.com/office/spreadsheetml/2009/9/main" uri="{725AE2AE-9491-48be-B2B4-4EB974FC3084}">
      <x14:pivotCacheDefinition pivotCacheId="7798300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9">
  <r>
    <d v="2012-07-31T00:00:00"/>
    <x v="0"/>
    <x v="0"/>
    <x v="0"/>
    <n v="161"/>
  </r>
  <r>
    <d v="2013-02-05T00:00:00"/>
    <x v="1"/>
    <x v="1"/>
    <x v="1"/>
    <n v="414"/>
  </r>
  <r>
    <d v="2013-10-17T00:00:00"/>
    <x v="2"/>
    <x v="2"/>
    <x v="2"/>
    <n v="322"/>
  </r>
  <r>
    <d v="2013-01-28T00:00:00"/>
    <x v="3"/>
    <x v="3"/>
    <x v="3"/>
    <n v="115"/>
  </r>
  <r>
    <d v="2013-11-05T00:00:00"/>
    <x v="4"/>
    <x v="3"/>
    <x v="4"/>
    <n v="415"/>
  </r>
  <r>
    <d v="2013-06-28T00:00:00"/>
    <x v="5"/>
    <x v="4"/>
    <x v="5"/>
    <n v="326"/>
  </r>
  <r>
    <d v="2011-11-07T00:00:00"/>
    <x v="6"/>
    <x v="5"/>
    <x v="6"/>
    <n v="210"/>
  </r>
  <r>
    <d v="2012-04-14T00:00:00"/>
    <x v="2"/>
    <x v="0"/>
    <x v="7"/>
    <n v="461"/>
  </r>
  <r>
    <d v="2014-10-14T00:00:00"/>
    <x v="7"/>
    <x v="1"/>
    <x v="8"/>
    <n v="335"/>
  </r>
  <r>
    <d v="2012-01-28T00:00:00"/>
    <x v="8"/>
    <x v="2"/>
    <x v="9"/>
    <n v="266"/>
  </r>
  <r>
    <d v="2011-04-05T00:00:00"/>
    <x v="9"/>
    <x v="3"/>
    <x v="10"/>
    <n v="462"/>
  </r>
  <r>
    <d v="2012-04-19T00:00:00"/>
    <x v="10"/>
    <x v="3"/>
    <x v="11"/>
    <n v="149"/>
  </r>
  <r>
    <d v="2011-12-27T00:00:00"/>
    <x v="11"/>
    <x v="4"/>
    <x v="12"/>
    <n v="320"/>
  </r>
  <r>
    <d v="2012-11-13T00:00:00"/>
    <x v="12"/>
    <x v="5"/>
    <x v="13"/>
    <n v="496"/>
  </r>
  <r>
    <d v="2013-06-06T00:00:00"/>
    <x v="13"/>
    <x v="0"/>
    <x v="14"/>
    <n v="442"/>
  </r>
  <r>
    <d v="2014-07-31T00:00:00"/>
    <x v="14"/>
    <x v="1"/>
    <x v="15"/>
    <n v="346"/>
  </r>
  <r>
    <d v="2014-11-03T00:00:00"/>
    <x v="0"/>
    <x v="2"/>
    <x v="16"/>
    <n v="266"/>
  </r>
  <r>
    <d v="2014-09-08T00:00:00"/>
    <x v="1"/>
    <x v="3"/>
    <x v="17"/>
    <n v="157"/>
  </r>
  <r>
    <d v="2014-01-31T00:00:00"/>
    <x v="15"/>
    <x v="3"/>
    <x v="18"/>
    <n v="498"/>
  </r>
  <r>
    <d v="2014-12-05T00:00:00"/>
    <x v="3"/>
    <x v="4"/>
    <x v="19"/>
    <n v="248"/>
  </r>
  <r>
    <d v="2012-08-08T00:00:00"/>
    <x v="4"/>
    <x v="5"/>
    <x v="20"/>
    <n v="196"/>
  </r>
  <r>
    <d v="2011-10-29T00:00:00"/>
    <x v="5"/>
    <x v="0"/>
    <x v="21"/>
    <n v="392"/>
  </r>
  <r>
    <d v="2011-05-02T00:00:00"/>
    <x v="6"/>
    <x v="1"/>
    <x v="22"/>
    <n v="481"/>
  </r>
  <r>
    <d v="2013-02-27T00:00:00"/>
    <x v="2"/>
    <x v="2"/>
    <x v="23"/>
    <n v="260"/>
  </r>
  <r>
    <d v="2014-07-31T00:00:00"/>
    <x v="7"/>
    <x v="3"/>
    <x v="24"/>
    <n v="250"/>
  </r>
  <r>
    <d v="2014-09-05T00:00:00"/>
    <x v="8"/>
    <x v="3"/>
    <x v="25"/>
    <n v="298"/>
  </r>
  <r>
    <d v="2011-12-17T00:00:00"/>
    <x v="9"/>
    <x v="4"/>
    <x v="26"/>
    <n v="486"/>
  </r>
  <r>
    <d v="2011-03-14T00:00:00"/>
    <x v="10"/>
    <x v="5"/>
    <x v="27"/>
    <n v="107"/>
  </r>
  <r>
    <d v="2013-03-11T00:00:00"/>
    <x v="11"/>
    <x v="0"/>
    <x v="28"/>
    <n v="253"/>
  </r>
  <r>
    <d v="2012-02-25T00:00:00"/>
    <x v="12"/>
    <x v="1"/>
    <x v="29"/>
    <n v="368"/>
  </r>
  <r>
    <d v="2011-12-28T00:00:00"/>
    <x v="13"/>
    <x v="2"/>
    <x v="30"/>
    <n v="187"/>
  </r>
  <r>
    <d v="2012-07-17T00:00:00"/>
    <x v="14"/>
    <x v="3"/>
    <x v="31"/>
    <n v="366"/>
  </r>
  <r>
    <d v="2012-10-15T00:00:00"/>
    <x v="0"/>
    <x v="3"/>
    <x v="32"/>
    <n v="475"/>
  </r>
  <r>
    <d v="2011-11-03T00:00:00"/>
    <x v="1"/>
    <x v="4"/>
    <x v="33"/>
    <n v="271"/>
  </r>
  <r>
    <d v="2011-12-12T00:00:00"/>
    <x v="15"/>
    <x v="5"/>
    <x v="34"/>
    <n v="341"/>
  </r>
  <r>
    <d v="2011-09-14T00:00:00"/>
    <x v="3"/>
    <x v="0"/>
    <x v="35"/>
    <n v="471"/>
  </r>
  <r>
    <d v="2011-09-14T00:00:00"/>
    <x v="4"/>
    <x v="1"/>
    <x v="36"/>
    <n v="492"/>
  </r>
  <r>
    <d v="2014-11-05T00:00:00"/>
    <x v="5"/>
    <x v="2"/>
    <x v="37"/>
    <n v="216"/>
  </r>
  <r>
    <d v="2014-01-14T00:00:00"/>
    <x v="6"/>
    <x v="3"/>
    <x v="38"/>
    <n v="350"/>
  </r>
  <r>
    <d v="2011-01-10T00:00:00"/>
    <x v="2"/>
    <x v="3"/>
    <x v="39"/>
    <n v="484"/>
  </r>
  <r>
    <d v="2013-08-22T00:00:00"/>
    <x v="7"/>
    <x v="4"/>
    <x v="40"/>
    <n v="211"/>
  </r>
  <r>
    <d v="2014-11-11T00:00:00"/>
    <x v="8"/>
    <x v="5"/>
    <x v="41"/>
    <n v="174"/>
  </r>
  <r>
    <d v="2014-09-26T00:00:00"/>
    <x v="9"/>
    <x v="0"/>
    <x v="42"/>
    <n v="307"/>
  </r>
  <r>
    <d v="2012-12-13T00:00:00"/>
    <x v="10"/>
    <x v="1"/>
    <x v="43"/>
    <n v="275"/>
  </r>
  <r>
    <d v="2011-09-23T00:00:00"/>
    <x v="11"/>
    <x v="2"/>
    <x v="44"/>
    <n v="330"/>
  </r>
  <r>
    <d v="2011-09-23T00:00:00"/>
    <x v="12"/>
    <x v="3"/>
    <x v="45"/>
    <n v="226"/>
  </r>
  <r>
    <d v="2013-03-08T00:00:00"/>
    <x v="13"/>
    <x v="3"/>
    <x v="46"/>
    <n v="236"/>
  </r>
  <r>
    <d v="2014-08-28T00:00:00"/>
    <x v="14"/>
    <x v="4"/>
    <x v="47"/>
    <n v="380"/>
  </r>
  <r>
    <d v="2014-05-01T00:00:00"/>
    <x v="0"/>
    <x v="5"/>
    <x v="48"/>
    <n v="489"/>
  </r>
  <r>
    <d v="2014-12-18T00:00:00"/>
    <x v="1"/>
    <x v="0"/>
    <x v="49"/>
    <n v="377"/>
  </r>
  <r>
    <d v="2012-06-16T00:00:00"/>
    <x v="15"/>
    <x v="1"/>
    <x v="50"/>
    <n v="289"/>
  </r>
  <r>
    <d v="2014-09-18T00:00:00"/>
    <x v="3"/>
    <x v="2"/>
    <x v="51"/>
    <n v="486"/>
  </r>
  <r>
    <d v="2014-07-25T00:00:00"/>
    <x v="4"/>
    <x v="3"/>
    <x v="52"/>
    <n v="285"/>
  </r>
  <r>
    <d v="2011-12-17T00:00:00"/>
    <x v="5"/>
    <x v="3"/>
    <x v="53"/>
    <n v="329"/>
  </r>
  <r>
    <d v="2013-12-18T00:00:00"/>
    <x v="6"/>
    <x v="4"/>
    <x v="54"/>
    <n v="220"/>
  </r>
  <r>
    <d v="2012-05-30T00:00:00"/>
    <x v="2"/>
    <x v="5"/>
    <x v="55"/>
    <n v="349"/>
  </r>
  <r>
    <d v="2012-03-19T00:00:00"/>
    <x v="7"/>
    <x v="0"/>
    <x v="56"/>
    <n v="297"/>
  </r>
  <r>
    <d v="2012-05-25T00:00:00"/>
    <x v="8"/>
    <x v="1"/>
    <x v="57"/>
    <n v="138"/>
  </r>
  <r>
    <d v="2014-08-05T00:00:00"/>
    <x v="9"/>
    <x v="2"/>
    <x v="58"/>
    <n v="114"/>
  </r>
  <r>
    <d v="2014-08-24T00:00:00"/>
    <x v="10"/>
    <x v="3"/>
    <x v="59"/>
    <n v="100"/>
  </r>
  <r>
    <d v="2014-03-11T00:00:00"/>
    <x v="11"/>
    <x v="3"/>
    <x v="60"/>
    <n v="330"/>
  </r>
  <r>
    <d v="2012-11-08T00:00:00"/>
    <x v="12"/>
    <x v="4"/>
    <x v="61"/>
    <n v="372"/>
  </r>
  <r>
    <d v="2014-08-11T00:00:00"/>
    <x v="13"/>
    <x v="5"/>
    <x v="62"/>
    <n v="460"/>
  </r>
  <r>
    <d v="2013-08-31T00:00:00"/>
    <x v="14"/>
    <x v="0"/>
    <x v="63"/>
    <n v="250"/>
  </r>
  <r>
    <d v="2014-01-18T00:00:00"/>
    <x v="0"/>
    <x v="1"/>
    <x v="64"/>
    <n v="465"/>
  </r>
  <r>
    <d v="2013-12-02T00:00:00"/>
    <x v="1"/>
    <x v="2"/>
    <x v="65"/>
    <n v="489"/>
  </r>
  <r>
    <d v="2014-12-07T00:00:00"/>
    <x v="15"/>
    <x v="3"/>
    <x v="66"/>
    <n v="296"/>
  </r>
  <r>
    <d v="2014-12-16T00:00:00"/>
    <x v="3"/>
    <x v="3"/>
    <x v="67"/>
    <n v="349"/>
  </r>
  <r>
    <d v="2014-11-20T00:00:00"/>
    <x v="4"/>
    <x v="4"/>
    <x v="68"/>
    <n v="178"/>
  </r>
  <r>
    <d v="2011-11-09T00:00:00"/>
    <x v="5"/>
    <x v="5"/>
    <x v="69"/>
    <n v="268"/>
  </r>
  <r>
    <d v="2013-06-07T00:00:00"/>
    <x v="6"/>
    <x v="0"/>
    <x v="70"/>
    <n v="237"/>
  </r>
  <r>
    <d v="2011-11-22T00:00:00"/>
    <x v="2"/>
    <x v="1"/>
    <x v="71"/>
    <n v="145"/>
  </r>
  <r>
    <d v="2013-03-29T00:00:00"/>
    <x v="7"/>
    <x v="2"/>
    <x v="72"/>
    <n v="296"/>
  </r>
  <r>
    <d v="2014-08-26T00:00:00"/>
    <x v="8"/>
    <x v="3"/>
    <x v="73"/>
    <n v="321"/>
  </r>
  <r>
    <d v="2012-09-20T00:00:00"/>
    <x v="9"/>
    <x v="3"/>
    <x v="74"/>
    <n v="366"/>
  </r>
  <r>
    <d v="2014-05-16T00:00:00"/>
    <x v="10"/>
    <x v="4"/>
    <x v="75"/>
    <n v="432"/>
  </r>
  <r>
    <d v="2012-03-16T00:00:00"/>
    <x v="11"/>
    <x v="5"/>
    <x v="76"/>
    <n v="486"/>
  </r>
  <r>
    <d v="2013-11-24T00:00:00"/>
    <x v="12"/>
    <x v="0"/>
    <x v="77"/>
    <n v="290"/>
  </r>
  <r>
    <d v="2011-11-09T00:00:00"/>
    <x v="13"/>
    <x v="1"/>
    <x v="78"/>
    <n v="345"/>
  </r>
  <r>
    <d v="2011-10-28T00:00:00"/>
    <x v="14"/>
    <x v="2"/>
    <x v="79"/>
    <n v="354"/>
  </r>
  <r>
    <d v="2014-11-19T00:00:00"/>
    <x v="0"/>
    <x v="3"/>
    <x v="80"/>
    <n v="198"/>
  </r>
  <r>
    <d v="2014-10-28T00:00:00"/>
    <x v="1"/>
    <x v="3"/>
    <x v="81"/>
    <n v="370"/>
  </r>
  <r>
    <d v="2014-01-17T00:00:00"/>
    <x v="15"/>
    <x v="4"/>
    <x v="82"/>
    <n v="181"/>
  </r>
  <r>
    <d v="2014-08-18T00:00:00"/>
    <x v="3"/>
    <x v="5"/>
    <x v="83"/>
    <n v="384"/>
  </r>
  <r>
    <d v="2013-01-29T00:00:00"/>
    <x v="4"/>
    <x v="0"/>
    <x v="84"/>
    <n v="189"/>
  </r>
  <r>
    <d v="2012-09-18T00:00:00"/>
    <x v="5"/>
    <x v="1"/>
    <x v="85"/>
    <n v="213"/>
  </r>
  <r>
    <d v="2013-11-23T00:00:00"/>
    <x v="6"/>
    <x v="2"/>
    <x v="86"/>
    <n v="261"/>
  </r>
  <r>
    <d v="2012-06-13T00:00:00"/>
    <x v="2"/>
    <x v="3"/>
    <x v="87"/>
    <n v="477"/>
  </r>
  <r>
    <d v="2013-10-28T00:00:00"/>
    <x v="7"/>
    <x v="3"/>
    <x v="88"/>
    <n v="181"/>
  </r>
  <r>
    <d v="2013-12-12T00:00:00"/>
    <x v="8"/>
    <x v="4"/>
    <x v="89"/>
    <n v="428"/>
  </r>
  <r>
    <d v="2012-05-25T00:00:00"/>
    <x v="9"/>
    <x v="5"/>
    <x v="90"/>
    <n v="275"/>
  </r>
  <r>
    <d v="2013-05-06T00:00:00"/>
    <x v="10"/>
    <x v="0"/>
    <x v="91"/>
    <n v="212"/>
  </r>
  <r>
    <d v="2013-12-02T00:00:00"/>
    <x v="11"/>
    <x v="1"/>
    <x v="92"/>
    <n v="416"/>
  </r>
  <r>
    <d v="2014-12-23T00:00:00"/>
    <x v="12"/>
    <x v="2"/>
    <x v="93"/>
    <n v="230"/>
  </r>
  <r>
    <d v="2013-01-28T00:00:00"/>
    <x v="13"/>
    <x v="3"/>
    <x v="94"/>
    <n v="339"/>
  </r>
  <r>
    <d v="2012-05-07T00:00:00"/>
    <x v="14"/>
    <x v="3"/>
    <x v="95"/>
    <n v="105"/>
  </r>
  <r>
    <d v="2013-11-27T00:00:00"/>
    <x v="0"/>
    <x v="4"/>
    <x v="96"/>
    <n v="378"/>
  </r>
  <r>
    <d v="2012-11-28T00:00:00"/>
    <x v="1"/>
    <x v="5"/>
    <x v="97"/>
    <n v="106"/>
  </r>
  <r>
    <d v="2012-09-29T00:00:00"/>
    <x v="15"/>
    <x v="0"/>
    <x v="98"/>
    <n v="302"/>
  </r>
  <r>
    <d v="2013-09-03T00:00:00"/>
    <x v="3"/>
    <x v="1"/>
    <x v="99"/>
    <n v="105"/>
  </r>
  <r>
    <d v="2013-07-26T00:00:00"/>
    <x v="4"/>
    <x v="2"/>
    <x v="100"/>
    <n v="376"/>
  </r>
  <r>
    <d v="2014-11-19T00:00:00"/>
    <x v="5"/>
    <x v="3"/>
    <x v="101"/>
    <n v="240"/>
  </r>
  <r>
    <d v="2012-06-19T00:00:00"/>
    <x v="6"/>
    <x v="3"/>
    <x v="102"/>
    <n v="238"/>
  </r>
  <r>
    <d v="2012-10-11T00:00:00"/>
    <x v="2"/>
    <x v="4"/>
    <x v="103"/>
    <n v="368"/>
  </r>
  <r>
    <d v="2011-08-09T00:00:00"/>
    <x v="7"/>
    <x v="5"/>
    <x v="104"/>
    <n v="368"/>
  </r>
  <r>
    <d v="2011-11-05T00:00:00"/>
    <x v="8"/>
    <x v="0"/>
    <x v="105"/>
    <n v="257"/>
  </r>
  <r>
    <d v="2014-11-07T00:00:00"/>
    <x v="9"/>
    <x v="1"/>
    <x v="106"/>
    <n v="122"/>
  </r>
  <r>
    <d v="2013-04-26T00:00:00"/>
    <x v="10"/>
    <x v="2"/>
    <x v="107"/>
    <n v="477"/>
  </r>
  <r>
    <d v="2013-12-26T00:00:00"/>
    <x v="11"/>
    <x v="3"/>
    <x v="108"/>
    <n v="190"/>
  </r>
  <r>
    <d v="2013-03-13T00:00:00"/>
    <x v="12"/>
    <x v="3"/>
    <x v="109"/>
    <n v="159"/>
  </r>
  <r>
    <d v="2013-04-17T00:00:00"/>
    <x v="13"/>
    <x v="4"/>
    <x v="110"/>
    <n v="478"/>
  </r>
  <r>
    <d v="2012-04-05T00:00:00"/>
    <x v="14"/>
    <x v="5"/>
    <x v="111"/>
    <n v="292"/>
  </r>
  <r>
    <d v="2012-12-26T00:00:00"/>
    <x v="0"/>
    <x v="0"/>
    <x v="112"/>
    <n v="488"/>
  </r>
  <r>
    <d v="2013-04-18T00:00:00"/>
    <x v="1"/>
    <x v="1"/>
    <x v="113"/>
    <n v="455"/>
  </r>
  <r>
    <d v="2011-05-24T00:00:00"/>
    <x v="15"/>
    <x v="2"/>
    <x v="114"/>
    <n v="468"/>
  </r>
  <r>
    <d v="2012-05-22T00:00:00"/>
    <x v="3"/>
    <x v="3"/>
    <x v="115"/>
    <n v="265"/>
  </r>
  <r>
    <d v="2013-05-16T00:00:00"/>
    <x v="4"/>
    <x v="3"/>
    <x v="116"/>
    <n v="264"/>
  </r>
  <r>
    <d v="2011-12-06T00:00:00"/>
    <x v="5"/>
    <x v="4"/>
    <x v="117"/>
    <n v="122"/>
  </r>
  <r>
    <d v="2011-02-16T00:00:00"/>
    <x v="6"/>
    <x v="5"/>
    <x v="118"/>
    <n v="337"/>
  </r>
  <r>
    <d v="2013-05-31T00:00:00"/>
    <x v="2"/>
    <x v="0"/>
    <x v="119"/>
    <n v="492"/>
  </r>
  <r>
    <d v="2013-10-01T00:00:00"/>
    <x v="7"/>
    <x v="1"/>
    <x v="120"/>
    <n v="441"/>
  </r>
  <r>
    <d v="2011-12-14T00:00:00"/>
    <x v="8"/>
    <x v="2"/>
    <x v="121"/>
    <n v="299"/>
  </r>
  <r>
    <d v="2013-12-18T00:00:00"/>
    <x v="9"/>
    <x v="3"/>
    <x v="122"/>
    <n v="443"/>
  </r>
  <r>
    <d v="2013-12-11T00:00:00"/>
    <x v="10"/>
    <x v="3"/>
    <x v="123"/>
    <n v="351"/>
  </r>
  <r>
    <d v="2014-03-18T00:00:00"/>
    <x v="11"/>
    <x v="4"/>
    <x v="124"/>
    <n v="312"/>
  </r>
  <r>
    <d v="2014-12-19T00:00:00"/>
    <x v="12"/>
    <x v="5"/>
    <x v="125"/>
    <n v="286"/>
  </r>
  <r>
    <d v="2011-12-20T00:00:00"/>
    <x v="13"/>
    <x v="0"/>
    <x v="126"/>
    <n v="407"/>
  </r>
  <r>
    <d v="2013-05-24T00:00:00"/>
    <x v="14"/>
    <x v="1"/>
    <x v="127"/>
    <n v="437"/>
  </r>
  <r>
    <d v="2011-10-14T00:00:00"/>
    <x v="0"/>
    <x v="2"/>
    <x v="128"/>
    <n v="109"/>
  </r>
  <r>
    <d v="2014-09-18T00:00:00"/>
    <x v="1"/>
    <x v="3"/>
    <x v="129"/>
    <n v="312"/>
  </r>
  <r>
    <d v="2013-11-25T00:00:00"/>
    <x v="15"/>
    <x v="3"/>
    <x v="130"/>
    <n v="286"/>
  </r>
  <r>
    <d v="2013-11-07T00:00:00"/>
    <x v="3"/>
    <x v="4"/>
    <x v="131"/>
    <n v="162"/>
  </r>
  <r>
    <d v="2014-07-19T00:00:00"/>
    <x v="4"/>
    <x v="5"/>
    <x v="132"/>
    <n v="448"/>
  </r>
  <r>
    <d v="2012-08-16T00:00:00"/>
    <x v="5"/>
    <x v="0"/>
    <x v="133"/>
    <n v="336"/>
  </r>
  <r>
    <d v="2013-08-27T00:00:00"/>
    <x v="6"/>
    <x v="1"/>
    <x v="134"/>
    <n v="426"/>
  </r>
  <r>
    <d v="2012-01-11T00:00:00"/>
    <x v="2"/>
    <x v="2"/>
    <x v="135"/>
    <n v="321"/>
  </r>
  <r>
    <d v="2013-01-28T00:00:00"/>
    <x v="7"/>
    <x v="3"/>
    <x v="136"/>
    <n v="152"/>
  </r>
  <r>
    <d v="2012-06-14T00:00:00"/>
    <x v="8"/>
    <x v="3"/>
    <x v="137"/>
    <n v="133"/>
  </r>
  <r>
    <d v="2011-12-01T00:00:00"/>
    <x v="9"/>
    <x v="4"/>
    <x v="138"/>
    <n v="233"/>
  </r>
  <r>
    <d v="2013-06-25T00:00:00"/>
    <x v="10"/>
    <x v="5"/>
    <x v="139"/>
    <n v="115"/>
  </r>
  <r>
    <d v="2012-12-06T00:00:00"/>
    <x v="11"/>
    <x v="0"/>
    <x v="140"/>
    <n v="401"/>
  </r>
  <r>
    <d v="2013-09-05T00:00:00"/>
    <x v="12"/>
    <x v="1"/>
    <x v="141"/>
    <n v="128"/>
  </r>
  <r>
    <d v="2014-09-18T00:00:00"/>
    <x v="13"/>
    <x v="2"/>
    <x v="142"/>
    <n v="403"/>
  </r>
  <r>
    <d v="2014-09-12T00:00:00"/>
    <x v="14"/>
    <x v="3"/>
    <x v="143"/>
    <n v="203"/>
  </r>
  <r>
    <d v="2012-08-03T00:00:00"/>
    <x v="0"/>
    <x v="3"/>
    <x v="144"/>
    <n v="334"/>
  </r>
  <r>
    <d v="2014-12-09T00:00:00"/>
    <x v="1"/>
    <x v="4"/>
    <x v="145"/>
    <n v="438"/>
  </r>
  <r>
    <d v="2012-10-25T00:00:00"/>
    <x v="15"/>
    <x v="5"/>
    <x v="146"/>
    <n v="249"/>
  </r>
  <r>
    <d v="2012-07-13T00:00:00"/>
    <x v="3"/>
    <x v="0"/>
    <x v="147"/>
    <n v="209"/>
  </r>
  <r>
    <d v="2013-08-27T00:00:00"/>
    <x v="4"/>
    <x v="1"/>
    <x v="148"/>
    <n v="178"/>
  </r>
  <r>
    <d v="2011-05-13T00:00:00"/>
    <x v="5"/>
    <x v="2"/>
    <x v="149"/>
    <n v="376"/>
  </r>
  <r>
    <d v="2011-11-03T00:00:00"/>
    <x v="6"/>
    <x v="3"/>
    <x v="150"/>
    <n v="112"/>
  </r>
  <r>
    <d v="2014-08-02T00:00:00"/>
    <x v="2"/>
    <x v="3"/>
    <x v="151"/>
    <n v="356"/>
  </r>
  <r>
    <d v="2011-09-20T00:00:00"/>
    <x v="7"/>
    <x v="4"/>
    <x v="152"/>
    <n v="348"/>
  </r>
  <r>
    <d v="2014-01-08T00:00:00"/>
    <x v="8"/>
    <x v="5"/>
    <x v="153"/>
    <n v="168"/>
  </r>
  <r>
    <d v="2013-03-11T00:00:00"/>
    <x v="9"/>
    <x v="0"/>
    <x v="154"/>
    <n v="442"/>
  </r>
  <r>
    <d v="2012-02-02T00:00:00"/>
    <x v="10"/>
    <x v="1"/>
    <x v="155"/>
    <n v="201"/>
  </r>
  <r>
    <d v="2013-09-09T00:00:00"/>
    <x v="11"/>
    <x v="2"/>
    <x v="156"/>
    <n v="388"/>
  </r>
  <r>
    <d v="2014-04-09T00:00:00"/>
    <x v="12"/>
    <x v="3"/>
    <x v="157"/>
    <n v="446"/>
  </r>
  <r>
    <d v="2013-03-02T00:00:00"/>
    <x v="13"/>
    <x v="3"/>
    <x v="158"/>
    <n v="100"/>
  </r>
  <r>
    <d v="2014-03-19T00:00:00"/>
    <x v="14"/>
    <x v="4"/>
    <x v="159"/>
    <n v="384"/>
  </r>
  <r>
    <d v="2013-10-02T00:00:00"/>
    <x v="0"/>
    <x v="5"/>
    <x v="160"/>
    <n v="195"/>
  </r>
  <r>
    <d v="2013-01-12T00:00:00"/>
    <x v="1"/>
    <x v="0"/>
    <x v="161"/>
    <n v="253"/>
  </r>
  <r>
    <d v="2014-08-20T00:00:00"/>
    <x v="15"/>
    <x v="1"/>
    <x v="162"/>
    <n v="166"/>
  </r>
  <r>
    <d v="2011-12-17T00:00:00"/>
    <x v="3"/>
    <x v="2"/>
    <x v="163"/>
    <n v="329"/>
  </r>
  <r>
    <d v="2014-03-14T00:00:00"/>
    <x v="4"/>
    <x v="3"/>
    <x v="164"/>
    <n v="159"/>
  </r>
  <r>
    <d v="2013-03-26T00:00:00"/>
    <x v="5"/>
    <x v="3"/>
    <x v="165"/>
    <n v="387"/>
  </r>
  <r>
    <d v="2014-07-09T00:00:00"/>
    <x v="6"/>
    <x v="4"/>
    <x v="166"/>
    <n v="343"/>
  </r>
  <r>
    <d v="2013-06-11T00:00:00"/>
    <x v="2"/>
    <x v="5"/>
    <x v="167"/>
    <n v="165"/>
  </r>
  <r>
    <d v="2011-08-10T00:00:00"/>
    <x v="7"/>
    <x v="0"/>
    <x v="168"/>
    <n v="209"/>
  </r>
  <r>
    <d v="2014-03-17T00:00:00"/>
    <x v="8"/>
    <x v="1"/>
    <x v="169"/>
    <n v="127"/>
  </r>
  <r>
    <d v="2013-01-02T00:00:00"/>
    <x v="9"/>
    <x v="2"/>
    <x v="170"/>
    <n v="326"/>
  </r>
  <r>
    <d v="2013-11-26T00:00:00"/>
    <x v="10"/>
    <x v="3"/>
    <x v="171"/>
    <n v="490"/>
  </r>
  <r>
    <d v="2012-10-10T00:00:00"/>
    <x v="11"/>
    <x v="3"/>
    <x v="172"/>
    <n v="396"/>
  </r>
  <r>
    <d v="2014-10-23T00:00:00"/>
    <x v="12"/>
    <x v="4"/>
    <x v="173"/>
    <n v="459"/>
  </r>
  <r>
    <d v="2011-06-17T00:00:00"/>
    <x v="13"/>
    <x v="5"/>
    <x v="174"/>
    <n v="493"/>
  </r>
  <r>
    <d v="2014-04-03T00:00:00"/>
    <x v="14"/>
    <x v="0"/>
    <x v="175"/>
    <n v="246"/>
  </r>
  <r>
    <d v="2011-05-17T00:00:00"/>
    <x v="0"/>
    <x v="1"/>
    <x v="176"/>
    <n v="120"/>
  </r>
  <r>
    <d v="2014-02-11T00:00:00"/>
    <x v="1"/>
    <x v="2"/>
    <x v="177"/>
    <n v="172"/>
  </r>
  <r>
    <d v="2013-10-12T00:00:00"/>
    <x v="15"/>
    <x v="3"/>
    <x v="178"/>
    <n v="140"/>
  </r>
  <r>
    <d v="2011-09-19T00:00:00"/>
    <x v="3"/>
    <x v="3"/>
    <x v="179"/>
    <n v="272"/>
  </r>
  <r>
    <d v="2014-07-17T00:00:00"/>
    <x v="4"/>
    <x v="4"/>
    <x v="180"/>
    <n v="349"/>
  </r>
  <r>
    <d v="2014-11-22T00:00:00"/>
    <x v="5"/>
    <x v="5"/>
    <x v="181"/>
    <n v="133"/>
  </r>
  <r>
    <d v="2011-05-30T00:00:00"/>
    <x v="6"/>
    <x v="0"/>
    <x v="182"/>
    <n v="477"/>
  </r>
  <r>
    <d v="2014-04-01T00:00:00"/>
    <x v="2"/>
    <x v="1"/>
    <x v="183"/>
    <n v="129"/>
  </r>
  <r>
    <d v="2014-07-17T00:00:00"/>
    <x v="7"/>
    <x v="3"/>
    <x v="184"/>
    <n v="480"/>
  </r>
  <r>
    <d v="2014-08-29T00:00:00"/>
    <x v="8"/>
    <x v="4"/>
    <x v="185"/>
    <n v="438"/>
  </r>
  <r>
    <d v="2012-12-26T00:00:00"/>
    <x v="9"/>
    <x v="5"/>
    <x v="186"/>
    <n v="110"/>
  </r>
  <r>
    <d v="2014-11-11T00:00:00"/>
    <x v="10"/>
    <x v="0"/>
    <x v="187"/>
    <n v="163"/>
  </r>
  <r>
    <d v="2013-05-01T00:00:00"/>
    <x v="11"/>
    <x v="1"/>
    <x v="188"/>
    <n v="391"/>
  </r>
  <r>
    <d v="2011-08-16T00:00:00"/>
    <x v="12"/>
    <x v="3"/>
    <x v="189"/>
    <n v="493"/>
  </r>
  <r>
    <d v="2014-12-03T00:00:00"/>
    <x v="13"/>
    <x v="4"/>
    <x v="190"/>
    <n v="145"/>
  </r>
  <r>
    <d v="2013-06-25T00:00:00"/>
    <x v="14"/>
    <x v="5"/>
    <x v="191"/>
    <n v="138"/>
  </r>
  <r>
    <d v="2013-01-21T00:00:00"/>
    <x v="0"/>
    <x v="0"/>
    <x v="192"/>
    <n v="178"/>
  </r>
  <r>
    <d v="2013-10-22T00:00:00"/>
    <x v="1"/>
    <x v="1"/>
    <x v="193"/>
    <n v="141"/>
  </r>
  <r>
    <d v="2014-07-12T00:00:00"/>
    <x v="15"/>
    <x v="3"/>
    <x v="194"/>
    <n v="393"/>
  </r>
  <r>
    <d v="2013-12-26T00:00:00"/>
    <x v="3"/>
    <x v="4"/>
    <x v="195"/>
    <n v="229"/>
  </r>
  <r>
    <d v="2014-09-01T00:00:00"/>
    <x v="4"/>
    <x v="1"/>
    <x v="196"/>
    <n v="148"/>
  </r>
  <r>
    <d v="2011-11-17T00:00:00"/>
    <x v="5"/>
    <x v="3"/>
    <x v="197"/>
    <n v="195"/>
  </r>
  <r>
    <d v="2011-06-07T00:00:00"/>
    <x v="6"/>
    <x v="4"/>
    <x v="198"/>
    <n v="282"/>
  </r>
  <r>
    <d v="2011-10-13T00:00:00"/>
    <x v="2"/>
    <x v="1"/>
    <x v="199"/>
    <n v="396"/>
  </r>
  <r>
    <d v="2013-06-10T00:00:00"/>
    <x v="7"/>
    <x v="3"/>
    <x v="200"/>
    <n v="168"/>
  </r>
  <r>
    <d v="2014-12-13T00:00:00"/>
    <x v="8"/>
    <x v="4"/>
    <x v="201"/>
    <n v="362"/>
  </r>
  <r>
    <d v="2014-10-13T00:00:00"/>
    <x v="9"/>
    <x v="1"/>
    <x v="202"/>
    <n v="178"/>
  </r>
  <r>
    <d v="2014-06-10T00:00:00"/>
    <x v="10"/>
    <x v="1"/>
    <x v="203"/>
    <n v="371"/>
  </r>
  <r>
    <d v="2011-02-15T00:00:00"/>
    <x v="11"/>
    <x v="3"/>
    <x v="204"/>
    <n v="346"/>
  </r>
  <r>
    <d v="2013-11-28T00:00:00"/>
    <x v="12"/>
    <x v="4"/>
    <x v="205"/>
    <n v="338"/>
  </r>
  <r>
    <d v="2014-06-18T00:00:00"/>
    <x v="13"/>
    <x v="1"/>
    <x v="206"/>
    <n v="414"/>
  </r>
  <r>
    <d v="2013-09-20T00:00:00"/>
    <x v="14"/>
    <x v="3"/>
    <x v="207"/>
    <n v="123"/>
  </r>
  <r>
    <d v="2011-08-09T00:00:00"/>
    <x v="0"/>
    <x v="4"/>
    <x v="208"/>
    <n v="410"/>
  </r>
  <r>
    <d v="2011-06-21T00:00:00"/>
    <x v="1"/>
    <x v="1"/>
    <x v="209"/>
    <n v="471"/>
  </r>
  <r>
    <d v="2012-08-02T00:00:00"/>
    <x v="15"/>
    <x v="3"/>
    <x v="210"/>
    <n v="319"/>
  </r>
  <r>
    <d v="2012-06-19T00:00:00"/>
    <x v="3"/>
    <x v="4"/>
    <x v="211"/>
    <n v="107"/>
  </r>
  <r>
    <d v="2012-07-16T00:00:00"/>
    <x v="4"/>
    <x v="1"/>
    <x v="212"/>
    <n v="308"/>
  </r>
  <r>
    <d v="2013-08-02T00:00:00"/>
    <x v="5"/>
    <x v="1"/>
    <x v="213"/>
    <n v="269"/>
  </r>
  <r>
    <d v="2014-05-22T00:00:00"/>
    <x v="6"/>
    <x v="3"/>
    <x v="214"/>
    <n v="395"/>
  </r>
  <r>
    <d v="2011-02-10T00:00:00"/>
    <x v="2"/>
    <x v="4"/>
    <x v="215"/>
    <n v="304"/>
  </r>
  <r>
    <d v="2013-09-27T00:00:00"/>
    <x v="7"/>
    <x v="1"/>
    <x v="216"/>
    <n v="178"/>
  </r>
  <r>
    <d v="2014-06-02T00:00:00"/>
    <x v="8"/>
    <x v="3"/>
    <x v="217"/>
    <n v="431"/>
  </r>
  <r>
    <d v="2013-09-30T00:00:00"/>
    <x v="9"/>
    <x v="4"/>
    <x v="218"/>
    <n v="396"/>
  </r>
  <r>
    <d v="2011-07-19T00:00:00"/>
    <x v="10"/>
    <x v="1"/>
    <x v="219"/>
    <n v="478"/>
  </r>
  <r>
    <d v="2014-08-14T00:00:00"/>
    <x v="11"/>
    <x v="3"/>
    <x v="220"/>
    <n v="220"/>
  </r>
  <r>
    <d v="2013-07-26T00:00:00"/>
    <x v="12"/>
    <x v="4"/>
    <x v="221"/>
    <n v="482"/>
  </r>
  <r>
    <d v="2014-10-31T00:00:00"/>
    <x v="13"/>
    <x v="1"/>
    <x v="222"/>
    <n v="428"/>
  </r>
  <r>
    <d v="2013-07-25T00:00:00"/>
    <x v="14"/>
    <x v="1"/>
    <x v="223"/>
    <n v="308"/>
  </r>
  <r>
    <d v="2014-10-07T00:00:00"/>
    <x v="0"/>
    <x v="3"/>
    <x v="224"/>
    <n v="374"/>
  </r>
  <r>
    <d v="2014-10-17T00:00:00"/>
    <x v="1"/>
    <x v="4"/>
    <x v="225"/>
    <n v="434"/>
  </r>
  <r>
    <d v="2013-12-03T00:00:00"/>
    <x v="15"/>
    <x v="1"/>
    <x v="226"/>
    <n v="465"/>
  </r>
  <r>
    <d v="2014-11-08T00:00:00"/>
    <x v="3"/>
    <x v="3"/>
    <x v="227"/>
    <n v="372"/>
  </r>
  <r>
    <d v="2013-06-10T00:00:00"/>
    <x v="4"/>
    <x v="4"/>
    <x v="228"/>
    <n v="370"/>
  </r>
  <r>
    <d v="2011-09-21T00:00:00"/>
    <x v="5"/>
    <x v="1"/>
    <x v="229"/>
    <n v="268"/>
  </r>
  <r>
    <d v="2011-06-21T00:00:00"/>
    <x v="6"/>
    <x v="3"/>
    <x v="230"/>
    <n v="439"/>
  </r>
  <r>
    <d v="2014-05-09T00:00:00"/>
    <x v="2"/>
    <x v="4"/>
    <x v="231"/>
    <n v="345"/>
  </r>
  <r>
    <d v="2014-09-23T00:00:00"/>
    <x v="7"/>
    <x v="1"/>
    <x v="232"/>
    <n v="222"/>
  </r>
  <r>
    <d v="2014-11-26T00:00:00"/>
    <x v="8"/>
    <x v="1"/>
    <x v="233"/>
    <n v="387"/>
  </r>
  <r>
    <d v="2012-03-30T00:00:00"/>
    <x v="9"/>
    <x v="3"/>
    <x v="234"/>
    <n v="495"/>
  </r>
  <r>
    <d v="2011-11-10T00:00:00"/>
    <x v="10"/>
    <x v="4"/>
    <x v="235"/>
    <n v="266"/>
  </r>
  <r>
    <d v="2014-08-22T00:00:00"/>
    <x v="11"/>
    <x v="1"/>
    <x v="236"/>
    <n v="242"/>
  </r>
  <r>
    <d v="2012-08-01T00:00:00"/>
    <x v="12"/>
    <x v="3"/>
    <x v="237"/>
    <n v="441"/>
  </r>
  <r>
    <d v="2014-12-23T00:00:00"/>
    <x v="13"/>
    <x v="4"/>
    <x v="238"/>
    <n v="101"/>
  </r>
  <r>
    <d v="2014-07-04T00:00:00"/>
    <x v="14"/>
    <x v="1"/>
    <x v="239"/>
    <n v="320"/>
  </r>
  <r>
    <d v="2014-11-21T00:00:00"/>
    <x v="0"/>
    <x v="3"/>
    <x v="240"/>
    <n v="463"/>
  </r>
  <r>
    <d v="2013-01-23T00:00:00"/>
    <x v="1"/>
    <x v="4"/>
    <x v="241"/>
    <n v="264"/>
  </r>
  <r>
    <d v="2011-05-21T00:00:00"/>
    <x v="15"/>
    <x v="1"/>
    <x v="242"/>
    <n v="441"/>
  </r>
  <r>
    <d v="2014-09-28T00:00:00"/>
    <x v="3"/>
    <x v="1"/>
    <x v="243"/>
    <n v="112"/>
  </r>
  <r>
    <d v="2011-11-06T00:00:00"/>
    <x v="4"/>
    <x v="3"/>
    <x v="244"/>
    <n v="392"/>
  </r>
  <r>
    <d v="2014-01-28T00:00:00"/>
    <x v="5"/>
    <x v="4"/>
    <x v="245"/>
    <n v="477"/>
  </r>
  <r>
    <d v="2014-09-13T00:00:00"/>
    <x v="6"/>
    <x v="1"/>
    <x v="246"/>
    <n v="117"/>
  </r>
  <r>
    <d v="2012-12-01T00:00:00"/>
    <x v="2"/>
    <x v="3"/>
    <x v="247"/>
    <n v="294"/>
  </r>
  <r>
    <d v="2011-12-22T00:00:00"/>
    <x v="7"/>
    <x v="4"/>
    <x v="248"/>
    <n v="227"/>
  </r>
  <r>
    <d v="2013-02-05T00:00:00"/>
    <x v="8"/>
    <x v="1"/>
    <x v="249"/>
    <n v="136"/>
  </r>
  <r>
    <d v="2011-12-28T00:00:00"/>
    <x v="9"/>
    <x v="3"/>
    <x v="250"/>
    <n v="232"/>
  </r>
  <r>
    <d v="2013-05-28T00:00:00"/>
    <x v="10"/>
    <x v="4"/>
    <x v="251"/>
    <n v="400"/>
  </r>
  <r>
    <d v="2011-04-27T00:00:00"/>
    <x v="11"/>
    <x v="1"/>
    <x v="252"/>
    <n v="223"/>
  </r>
  <r>
    <d v="2011-10-06T00:00:00"/>
    <x v="12"/>
    <x v="1"/>
    <x v="253"/>
    <n v="452"/>
  </r>
  <r>
    <d v="2013-08-24T00:00:00"/>
    <x v="13"/>
    <x v="3"/>
    <x v="254"/>
    <n v="417"/>
  </r>
  <r>
    <d v="2013-09-21T00:00:00"/>
    <x v="14"/>
    <x v="4"/>
    <x v="255"/>
    <n v="291"/>
  </r>
  <r>
    <d v="2014-12-17T00:00:00"/>
    <x v="0"/>
    <x v="1"/>
    <x v="256"/>
    <n v="439"/>
  </r>
  <r>
    <d v="2011-09-19T00:00:00"/>
    <x v="1"/>
    <x v="3"/>
    <x v="257"/>
    <n v="101"/>
  </r>
  <r>
    <d v="2014-07-04T00:00:00"/>
    <x v="15"/>
    <x v="4"/>
    <x v="258"/>
    <n v="399"/>
  </r>
  <r>
    <d v="2011-05-21T00:00:00"/>
    <x v="3"/>
    <x v="1"/>
    <x v="259"/>
    <n v="110"/>
  </r>
  <r>
    <d v="2014-06-03T00:00:00"/>
    <x v="4"/>
    <x v="3"/>
    <x v="260"/>
    <n v="287"/>
  </r>
  <r>
    <d v="2014-09-12T00:00:00"/>
    <x v="5"/>
    <x v="4"/>
    <x v="261"/>
    <n v="371"/>
  </r>
  <r>
    <d v="2014-04-17T00:00:00"/>
    <x v="6"/>
    <x v="1"/>
    <x v="262"/>
    <n v="355"/>
  </r>
  <r>
    <d v="2012-11-21T00:00:00"/>
    <x v="2"/>
    <x v="1"/>
    <x v="263"/>
    <n v="310"/>
  </r>
  <r>
    <d v="2014-03-06T00:00:00"/>
    <x v="7"/>
    <x v="3"/>
    <x v="264"/>
    <n v="129"/>
  </r>
  <r>
    <d v="2012-07-23T00:00:00"/>
    <x v="8"/>
    <x v="4"/>
    <x v="265"/>
    <n v="262"/>
  </r>
  <r>
    <d v="2014-11-07T00:00:00"/>
    <x v="9"/>
    <x v="1"/>
    <x v="266"/>
    <n v="275"/>
  </r>
  <r>
    <d v="2014-11-22T00:00:00"/>
    <x v="10"/>
    <x v="3"/>
    <x v="267"/>
    <n v="261"/>
  </r>
  <r>
    <d v="2011-06-11T00:00:00"/>
    <x v="11"/>
    <x v="4"/>
    <x v="268"/>
    <n v="463"/>
  </r>
  <r>
    <d v="2012-09-14T00:00:00"/>
    <x v="12"/>
    <x v="1"/>
    <x v="269"/>
    <n v="466"/>
  </r>
  <r>
    <d v="2011-11-25T00:00:00"/>
    <x v="13"/>
    <x v="3"/>
    <x v="270"/>
    <n v="285"/>
  </r>
  <r>
    <d v="2012-08-10T00:00:00"/>
    <x v="14"/>
    <x v="4"/>
    <x v="271"/>
    <n v="348"/>
  </r>
  <r>
    <d v="2013-03-20T00:00:00"/>
    <x v="0"/>
    <x v="1"/>
    <x v="272"/>
    <n v="470"/>
  </r>
  <r>
    <d v="2013-12-30T00:00:00"/>
    <x v="1"/>
    <x v="1"/>
    <x v="273"/>
    <n v="296"/>
  </r>
  <r>
    <d v="2012-10-04T00:00:00"/>
    <x v="15"/>
    <x v="3"/>
    <x v="274"/>
    <n v="293"/>
  </r>
  <r>
    <d v="2012-08-06T00:00:00"/>
    <x v="3"/>
    <x v="4"/>
    <x v="275"/>
    <n v="495"/>
  </r>
  <r>
    <d v="2012-10-02T00:00:00"/>
    <x v="4"/>
    <x v="1"/>
    <x v="276"/>
    <n v="315"/>
  </r>
  <r>
    <d v="2014-03-26T00:00:00"/>
    <x v="5"/>
    <x v="3"/>
    <x v="277"/>
    <n v="240"/>
  </r>
  <r>
    <d v="2014-11-21T00:00:00"/>
    <x v="6"/>
    <x v="4"/>
    <x v="278"/>
    <n v="44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12B088-450B-42E4-BFF9-E785C4C06869}"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0" firstHeaderRow="1" firstDataRow="1" firstDataCol="1"/>
  <pivotFields count="5">
    <pivotField numFmtId="164" showAll="0"/>
    <pivotField showAll="0"/>
    <pivotField axis="axisRow" showAll="0">
      <items count="7">
        <item x="2"/>
        <item x="0"/>
        <item x="4"/>
        <item x="1"/>
        <item x="3"/>
        <item x="5"/>
        <item t="default"/>
      </items>
    </pivotField>
    <pivotField dataField="1" showAll="0">
      <items count="280">
        <item x="221"/>
        <item x="184"/>
        <item x="4"/>
        <item x="159"/>
        <item x="79"/>
        <item x="29"/>
        <item x="241"/>
        <item x="190"/>
        <item x="127"/>
        <item x="116"/>
        <item x="252"/>
        <item x="46"/>
        <item x="146"/>
        <item x="44"/>
        <item x="209"/>
        <item x="100"/>
        <item x="131"/>
        <item x="180"/>
        <item x="65"/>
        <item x="39"/>
        <item x="158"/>
        <item x="74"/>
        <item x="133"/>
        <item x="92"/>
        <item x="19"/>
        <item x="52"/>
        <item x="124"/>
        <item x="83"/>
        <item x="239"/>
        <item x="122"/>
        <item x="277"/>
        <item x="47"/>
        <item x="172"/>
        <item x="11"/>
        <item x="141"/>
        <item x="232"/>
        <item x="72"/>
        <item x="67"/>
        <item x="18"/>
        <item x="36"/>
        <item x="87"/>
        <item x="140"/>
        <item x="205"/>
        <item x="269"/>
        <item x="71"/>
        <item x="168"/>
        <item x="234"/>
        <item x="167"/>
        <item x="90"/>
        <item x="115"/>
        <item x="78"/>
        <item x="9"/>
        <item x="111"/>
        <item x="56"/>
        <item x="162"/>
        <item x="123"/>
        <item x="95"/>
        <item x="130"/>
        <item x="84"/>
        <item x="264"/>
        <item x="142"/>
        <item x="225"/>
        <item x="199"/>
        <item x="155"/>
        <item x="42"/>
        <item x="263"/>
        <item x="230"/>
        <item x="125"/>
        <item x="246"/>
        <item x="188"/>
        <item x="249"/>
        <item x="185"/>
        <item x="250"/>
        <item x="132"/>
        <item x="66"/>
        <item x="165"/>
        <item x="7"/>
        <item x="34"/>
        <item x="32"/>
        <item x="28"/>
        <item x="170"/>
        <item x="21"/>
        <item x="10"/>
        <item x="27"/>
        <item x="37"/>
        <item x="25"/>
        <item x="164"/>
        <item x="189"/>
        <item x="173"/>
        <item x="126"/>
        <item x="196"/>
        <item x="16"/>
        <item x="193"/>
        <item x="259"/>
        <item x="62"/>
        <item x="202"/>
        <item x="26"/>
        <item x="30"/>
        <item x="8"/>
        <item x="119"/>
        <item x="226"/>
        <item x="108"/>
        <item x="60"/>
        <item x="171"/>
        <item x="245"/>
        <item x="40"/>
        <item x="248"/>
        <item x="91"/>
        <item x="20"/>
        <item x="1"/>
        <item x="136"/>
        <item x="198"/>
        <item x="150"/>
        <item x="97"/>
        <item x="31"/>
        <item x="244"/>
        <item x="157"/>
        <item x="261"/>
        <item x="70"/>
        <item x="255"/>
        <item x="153"/>
        <item x="138"/>
        <item x="220"/>
        <item x="77"/>
        <item x="237"/>
        <item x="102"/>
        <item x="203"/>
        <item x="194"/>
        <item x="68"/>
        <item x="161"/>
        <item x="219"/>
        <item x="186"/>
        <item x="14"/>
        <item x="208"/>
        <item x="23"/>
        <item x="217"/>
        <item x="201"/>
        <item x="154"/>
        <item x="106"/>
        <item x="2"/>
        <item x="273"/>
        <item x="148"/>
        <item x="176"/>
        <item x="33"/>
        <item x="49"/>
        <item x="13"/>
        <item x="145"/>
        <item x="129"/>
        <item x="117"/>
        <item x="156"/>
        <item x="38"/>
        <item x="266"/>
        <item x="271"/>
        <item x="223"/>
        <item x="105"/>
        <item x="48"/>
        <item x="181"/>
        <item x="192"/>
        <item x="144"/>
        <item x="109"/>
        <item x="118"/>
        <item x="152"/>
        <item x="59"/>
        <item x="256"/>
        <item x="231"/>
        <item x="206"/>
        <item x="233"/>
        <item x="213"/>
        <item x="257"/>
        <item x="121"/>
        <item x="166"/>
        <item x="41"/>
        <item x="175"/>
        <item x="22"/>
        <item x="17"/>
        <item x="258"/>
        <item x="51"/>
        <item x="57"/>
        <item x="89"/>
        <item x="55"/>
        <item x="43"/>
        <item x="75"/>
        <item x="222"/>
        <item x="260"/>
        <item x="143"/>
        <item x="274"/>
        <item x="272"/>
        <item x="76"/>
        <item x="195"/>
        <item x="53"/>
        <item x="137"/>
        <item x="214"/>
        <item x="204"/>
        <item x="107"/>
        <item x="94"/>
        <item x="174"/>
        <item x="179"/>
        <item x="228"/>
        <item x="216"/>
        <item x="242"/>
        <item x="182"/>
        <item x="265"/>
        <item x="54"/>
        <item x="85"/>
        <item x="135"/>
        <item x="64"/>
        <item x="98"/>
        <item x="82"/>
        <item x="73"/>
        <item x="191"/>
        <item x="207"/>
        <item x="45"/>
        <item x="224"/>
        <item x="218"/>
        <item x="6"/>
        <item x="197"/>
        <item x="267"/>
        <item x="149"/>
        <item x="169"/>
        <item x="251"/>
        <item x="278"/>
        <item x="275"/>
        <item x="58"/>
        <item x="238"/>
        <item x="262"/>
        <item x="3"/>
        <item x="139"/>
        <item x="212"/>
        <item x="128"/>
        <item x="270"/>
        <item x="81"/>
        <item x="15"/>
        <item x="187"/>
        <item x="96"/>
        <item x="12"/>
        <item x="69"/>
        <item x="0"/>
        <item x="114"/>
        <item x="276"/>
        <item x="5"/>
        <item x="93"/>
        <item x="253"/>
        <item x="229"/>
        <item x="177"/>
        <item x="50"/>
        <item x="183"/>
        <item x="235"/>
        <item x="240"/>
        <item x="110"/>
        <item x="268"/>
        <item x="99"/>
        <item x="151"/>
        <item x="112"/>
        <item x="243"/>
        <item x="178"/>
        <item x="63"/>
        <item x="147"/>
        <item x="120"/>
        <item x="104"/>
        <item x="227"/>
        <item x="24"/>
        <item x="80"/>
        <item x="254"/>
        <item x="160"/>
        <item x="35"/>
        <item x="103"/>
        <item x="134"/>
        <item x="247"/>
        <item x="61"/>
        <item x="113"/>
        <item x="200"/>
        <item x="163"/>
        <item x="215"/>
        <item x="88"/>
        <item x="211"/>
        <item x="101"/>
        <item x="236"/>
        <item x="86"/>
        <item x="210"/>
        <item t="default"/>
      </items>
    </pivotField>
    <pivotField showAll="0"/>
  </pivotFields>
  <rowFields count="1">
    <field x="2"/>
  </rowFields>
  <rowItems count="7">
    <i>
      <x/>
    </i>
    <i>
      <x v="1"/>
    </i>
    <i>
      <x v="2"/>
    </i>
    <i>
      <x v="3"/>
    </i>
    <i>
      <x v="4"/>
    </i>
    <i>
      <x v="5"/>
    </i>
    <i t="grand">
      <x/>
    </i>
  </rowItems>
  <colItems count="1">
    <i/>
  </colItems>
  <dataFields count="1">
    <dataField name="Sum of Revenue Generated" fld="3" showDataAs="percentOfTotal" baseField="0" baseItem="0" numFmtId="1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F735DB-A3B4-420E-BF11-E535DC9D34EB}"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7" firstHeaderRow="1" firstDataRow="1" firstDataCol="1" rowPageCount="1" colPageCount="1"/>
  <pivotFields count="5">
    <pivotField numFmtId="164" showAll="0"/>
    <pivotField axis="axisPage" showAll="0">
      <items count="17">
        <item x="11"/>
        <item x="10"/>
        <item x="6"/>
        <item x="8"/>
        <item x="14"/>
        <item x="9"/>
        <item x="1"/>
        <item x="5"/>
        <item x="4"/>
        <item x="13"/>
        <item x="2"/>
        <item x="3"/>
        <item x="0"/>
        <item x="12"/>
        <item x="7"/>
        <item x="15"/>
        <item t="default"/>
      </items>
    </pivotField>
    <pivotField axis="axisRow" showAll="0" measureFilter="1">
      <items count="7">
        <item x="2"/>
        <item x="0"/>
        <item x="4"/>
        <item x="1"/>
        <item x="3"/>
        <item x="5"/>
        <item t="default"/>
      </items>
    </pivotField>
    <pivotField dataField="1" showAll="0">
      <items count="280">
        <item x="221"/>
        <item x="184"/>
        <item x="4"/>
        <item x="159"/>
        <item x="79"/>
        <item x="29"/>
        <item x="241"/>
        <item x="190"/>
        <item x="127"/>
        <item x="116"/>
        <item x="252"/>
        <item x="46"/>
        <item x="146"/>
        <item x="44"/>
        <item x="209"/>
        <item x="100"/>
        <item x="131"/>
        <item x="180"/>
        <item x="65"/>
        <item x="39"/>
        <item x="158"/>
        <item x="74"/>
        <item x="133"/>
        <item x="92"/>
        <item x="19"/>
        <item x="52"/>
        <item x="124"/>
        <item x="83"/>
        <item x="239"/>
        <item x="122"/>
        <item x="277"/>
        <item x="47"/>
        <item x="172"/>
        <item x="11"/>
        <item x="141"/>
        <item x="232"/>
        <item x="72"/>
        <item x="67"/>
        <item x="18"/>
        <item x="36"/>
        <item x="87"/>
        <item x="140"/>
        <item x="205"/>
        <item x="269"/>
        <item x="71"/>
        <item x="168"/>
        <item x="234"/>
        <item x="167"/>
        <item x="90"/>
        <item x="115"/>
        <item x="78"/>
        <item x="9"/>
        <item x="111"/>
        <item x="56"/>
        <item x="162"/>
        <item x="123"/>
        <item x="95"/>
        <item x="130"/>
        <item x="84"/>
        <item x="264"/>
        <item x="142"/>
        <item x="225"/>
        <item x="199"/>
        <item x="155"/>
        <item x="42"/>
        <item x="263"/>
        <item x="230"/>
        <item x="125"/>
        <item x="246"/>
        <item x="188"/>
        <item x="249"/>
        <item x="185"/>
        <item x="250"/>
        <item x="132"/>
        <item x="66"/>
        <item x="165"/>
        <item x="7"/>
        <item x="34"/>
        <item x="32"/>
        <item x="28"/>
        <item x="170"/>
        <item x="21"/>
        <item x="10"/>
        <item x="27"/>
        <item x="37"/>
        <item x="25"/>
        <item x="164"/>
        <item x="189"/>
        <item x="173"/>
        <item x="126"/>
        <item x="196"/>
        <item x="16"/>
        <item x="193"/>
        <item x="259"/>
        <item x="62"/>
        <item x="202"/>
        <item x="26"/>
        <item x="30"/>
        <item x="8"/>
        <item x="119"/>
        <item x="226"/>
        <item x="108"/>
        <item x="60"/>
        <item x="171"/>
        <item x="245"/>
        <item x="40"/>
        <item x="248"/>
        <item x="91"/>
        <item x="20"/>
        <item x="1"/>
        <item x="136"/>
        <item x="198"/>
        <item x="150"/>
        <item x="97"/>
        <item x="31"/>
        <item x="244"/>
        <item x="157"/>
        <item x="261"/>
        <item x="70"/>
        <item x="255"/>
        <item x="153"/>
        <item x="138"/>
        <item x="220"/>
        <item x="77"/>
        <item x="237"/>
        <item x="102"/>
        <item x="203"/>
        <item x="194"/>
        <item x="68"/>
        <item x="161"/>
        <item x="219"/>
        <item x="186"/>
        <item x="14"/>
        <item x="208"/>
        <item x="23"/>
        <item x="217"/>
        <item x="201"/>
        <item x="154"/>
        <item x="106"/>
        <item x="2"/>
        <item x="273"/>
        <item x="148"/>
        <item x="176"/>
        <item x="33"/>
        <item x="49"/>
        <item x="13"/>
        <item x="145"/>
        <item x="129"/>
        <item x="117"/>
        <item x="156"/>
        <item x="38"/>
        <item x="266"/>
        <item x="271"/>
        <item x="223"/>
        <item x="105"/>
        <item x="48"/>
        <item x="181"/>
        <item x="192"/>
        <item x="144"/>
        <item x="109"/>
        <item x="118"/>
        <item x="152"/>
        <item x="59"/>
        <item x="256"/>
        <item x="231"/>
        <item x="206"/>
        <item x="233"/>
        <item x="213"/>
        <item x="257"/>
        <item x="121"/>
        <item x="166"/>
        <item x="41"/>
        <item x="175"/>
        <item x="22"/>
        <item x="17"/>
        <item x="258"/>
        <item x="51"/>
        <item x="57"/>
        <item x="89"/>
        <item x="55"/>
        <item x="43"/>
        <item x="75"/>
        <item x="222"/>
        <item x="260"/>
        <item x="143"/>
        <item x="274"/>
        <item x="272"/>
        <item x="76"/>
        <item x="195"/>
        <item x="53"/>
        <item x="137"/>
        <item x="214"/>
        <item x="204"/>
        <item x="107"/>
        <item x="94"/>
        <item x="174"/>
        <item x="179"/>
        <item x="228"/>
        <item x="216"/>
        <item x="242"/>
        <item x="182"/>
        <item x="265"/>
        <item x="54"/>
        <item x="85"/>
        <item x="135"/>
        <item x="64"/>
        <item x="98"/>
        <item x="82"/>
        <item x="73"/>
        <item x="191"/>
        <item x="207"/>
        <item x="45"/>
        <item x="224"/>
        <item x="218"/>
        <item x="6"/>
        <item x="197"/>
        <item x="267"/>
        <item x="149"/>
        <item x="169"/>
        <item x="251"/>
        <item x="278"/>
        <item x="275"/>
        <item x="58"/>
        <item x="238"/>
        <item x="262"/>
        <item x="3"/>
        <item x="139"/>
        <item x="212"/>
        <item x="128"/>
        <item x="270"/>
        <item x="81"/>
        <item x="15"/>
        <item x="187"/>
        <item x="96"/>
        <item x="12"/>
        <item x="69"/>
        <item x="0"/>
        <item x="114"/>
        <item x="276"/>
        <item x="5"/>
        <item x="93"/>
        <item x="253"/>
        <item x="229"/>
        <item x="177"/>
        <item x="50"/>
        <item x="183"/>
        <item x="235"/>
        <item x="240"/>
        <item x="110"/>
        <item x="268"/>
        <item x="99"/>
        <item x="151"/>
        <item x="112"/>
        <item x="243"/>
        <item x="178"/>
        <item x="63"/>
        <item x="147"/>
        <item x="120"/>
        <item x="104"/>
        <item x="227"/>
        <item x="24"/>
        <item x="80"/>
        <item x="254"/>
        <item x="160"/>
        <item x="35"/>
        <item x="103"/>
        <item x="134"/>
        <item x="247"/>
        <item x="61"/>
        <item x="113"/>
        <item x="200"/>
        <item x="163"/>
        <item x="215"/>
        <item x="88"/>
        <item x="211"/>
        <item x="101"/>
        <item x="236"/>
        <item x="86"/>
        <item x="210"/>
        <item t="default"/>
      </items>
    </pivotField>
    <pivotField showAll="0"/>
  </pivotFields>
  <rowFields count="1">
    <field x="2"/>
  </rowFields>
  <rowItems count="4">
    <i>
      <x v="2"/>
    </i>
    <i>
      <x v="3"/>
    </i>
    <i>
      <x v="4"/>
    </i>
    <i t="grand">
      <x/>
    </i>
  </rowItems>
  <colItems count="1">
    <i/>
  </colItems>
  <pageFields count="1">
    <pageField fld="1" item="6" hier="-1"/>
  </pageFields>
  <dataFields count="1">
    <dataField name="Sum of Revenue Generated"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911F700-6773-417E-9009-C4A95ADE1785}" sourceName="Region">
  <pivotTables>
    <pivotTable tabId="10" name="PivotTable2"/>
  </pivotTables>
  <data>
    <tabular pivotCacheId="779830005">
      <items count="16">
        <i x="11"/>
        <i x="10"/>
        <i x="6"/>
        <i x="8"/>
        <i x="14"/>
        <i x="9"/>
        <i x="1" s="1"/>
        <i x="5"/>
        <i x="4"/>
        <i x="13"/>
        <i x="2"/>
        <i x="3"/>
        <i x="0"/>
        <i x="12"/>
        <i x="7"/>
        <i x="15"/>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B4A7BF2-5289-4E56-B1DE-C8579593639F}" sourceName="Month">
  <extLst>
    <x:ext xmlns:x15="http://schemas.microsoft.com/office/spreadsheetml/2010/11/main" uri="{2F2917AC-EB37-4324-AD4E-5DD8C200BD13}">
      <x15:tableSlicerCache tableId="1" column="1"/>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61187CD8-47F9-4CCD-99E9-DAEC6DEE1F01}" sourceName="City">
  <extLst>
    <x:ext xmlns:x15="http://schemas.microsoft.com/office/spreadsheetml/2010/11/main" uri="{2F2917AC-EB37-4324-AD4E-5DD8C200BD13}">
      <x15:tableSlicerCache tableId="1"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A720FB3B-DDAC-4B4E-A1FB-587E071FDA1D}" cache="Slicer_Month" caption="Month" startItem="3" rowHeight="234950"/>
  <slicer name="City" xr10:uid="{5B7D111D-D0E8-4838-93FD-53A29CF02680}" cache="Slicer_City" caption="Cit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A859B08-61CC-418E-839E-68A91212F120}" cache="Slicer_Region" caption="Region" startItem="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42BD1E-AC2D-49F8-911A-C70E8A6E1557}" name="Table1" displayName="Table1" ref="B3:F19" totalsRowCount="1" headerRowDxfId="3">
  <autoFilter ref="B3:F18" xr:uid="{2042BD1E-AC2D-49F8-911A-C70E8A6E1557}">
    <filterColumn colId="0">
      <filters>
        <filter val="July"/>
      </filters>
    </filterColumn>
    <filterColumn colId="1">
      <filters>
        <filter val="Mumbai"/>
      </filters>
    </filterColumn>
  </autoFilter>
  <tableColumns count="5">
    <tableColumn id="1" xr3:uid="{F2B3B969-5651-4DA7-A0CB-DC2375E96006}" name="Month" totalsRowLabel="Total"/>
    <tableColumn id="2" xr3:uid="{91870D06-384E-4AE4-9DDC-F50F398D9177}" name="City"/>
    <tableColumn id="3" xr3:uid="{C5C98823-6CE3-4938-B4AC-16ECFF4F4DF4}" name="Brand"/>
    <tableColumn id="4" xr3:uid="{EC907B01-4E8E-405D-A6E7-9A9B39E8425E}" name="Total Revenue"/>
    <tableColumn id="5" xr3:uid="{33D2A42B-E99B-4E5C-A316-A2E31F42370A}" name="Total Merchandise Sold" totalsRowFunction="sum"/>
  </tableColumns>
  <tableStyleInfo name="TableStyleMedium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747F6-9DBA-45F5-9D59-CC350065D46C}">
  <sheetPr>
    <tabColor rgb="FF00B0F0"/>
  </sheetPr>
  <dimension ref="C2:J20"/>
  <sheetViews>
    <sheetView showGridLines="0" topLeftCell="A4" zoomScaleNormal="100" workbookViewId="0">
      <selection activeCell="L14" sqref="L14"/>
    </sheetView>
  </sheetViews>
  <sheetFormatPr defaultRowHeight="14.4" x14ac:dyDescent="0.3"/>
  <cols>
    <col min="3" max="3" width="18.21875" customWidth="1"/>
    <col min="4" max="4" width="24" customWidth="1"/>
    <col min="5" max="5" width="25.6640625" customWidth="1"/>
    <col min="6" max="6" width="9.44140625" customWidth="1"/>
    <col min="7" max="7" width="26.5546875" bestFit="1" customWidth="1"/>
    <col min="8" max="8" width="14.21875" customWidth="1"/>
    <col min="10" max="10" width="17.21875" bestFit="1" customWidth="1"/>
    <col min="11" max="11" width="10.5546875" bestFit="1" customWidth="1"/>
  </cols>
  <sheetData>
    <row r="2" spans="3:10" x14ac:dyDescent="0.3">
      <c r="C2" s="52" t="s">
        <v>223</v>
      </c>
      <c r="D2" s="51"/>
      <c r="E2" s="51"/>
      <c r="F2" s="51"/>
      <c r="G2" s="51"/>
    </row>
    <row r="4" spans="3:10" ht="33.75" customHeight="1" x14ac:dyDescent="0.3">
      <c r="C4" s="64" t="s">
        <v>224</v>
      </c>
      <c r="D4" s="64"/>
      <c r="E4" s="64"/>
      <c r="G4" s="65" t="s">
        <v>192</v>
      </c>
      <c r="H4" s="65"/>
      <c r="I4" s="65"/>
      <c r="J4" s="65"/>
    </row>
    <row r="6" spans="3:10" x14ac:dyDescent="0.3">
      <c r="C6" s="29">
        <v>66</v>
      </c>
      <c r="D6" s="29">
        <v>49</v>
      </c>
      <c r="E6" s="29">
        <v>13</v>
      </c>
    </row>
    <row r="7" spans="3:10" x14ac:dyDescent="0.3">
      <c r="C7" s="29">
        <v>0</v>
      </c>
      <c r="D7" s="29">
        <v>0</v>
      </c>
      <c r="E7" s="29">
        <v>28</v>
      </c>
    </row>
    <row r="8" spans="3:10" x14ac:dyDescent="0.3">
      <c r="C8" s="29">
        <v>0</v>
      </c>
      <c r="D8" s="29">
        <v>5</v>
      </c>
      <c r="E8" s="29">
        <v>11</v>
      </c>
    </row>
    <row r="9" spans="3:10" x14ac:dyDescent="0.3">
      <c r="C9" s="29">
        <v>0</v>
      </c>
      <c r="D9" s="29">
        <v>46</v>
      </c>
      <c r="E9" s="29">
        <v>4</v>
      </c>
    </row>
    <row r="10" spans="3:10" x14ac:dyDescent="0.3">
      <c r="C10" s="29">
        <v>0</v>
      </c>
      <c r="D10" s="29">
        <v>21</v>
      </c>
      <c r="E10" s="29">
        <v>32</v>
      </c>
    </row>
    <row r="11" spans="3:10" x14ac:dyDescent="0.3">
      <c r="C11" s="3"/>
      <c r="D11" s="3"/>
      <c r="E11" s="3"/>
      <c r="G11" s="47"/>
      <c r="H11" s="48"/>
    </row>
    <row r="12" spans="3:10" x14ac:dyDescent="0.3">
      <c r="C12" s="3"/>
      <c r="D12" s="3"/>
      <c r="E12" s="3"/>
      <c r="G12" s="47"/>
      <c r="H12" s="48"/>
    </row>
    <row r="13" spans="3:10" ht="30" customHeight="1" x14ac:dyDescent="0.3">
      <c r="C13" s="64" t="s">
        <v>225</v>
      </c>
      <c r="D13" s="64"/>
      <c r="E13" s="64"/>
      <c r="G13" s="65" t="s">
        <v>192</v>
      </c>
      <c r="H13" s="65"/>
      <c r="I13" s="65"/>
      <c r="J13" s="65"/>
    </row>
    <row r="15" spans="3:10" ht="15" customHeight="1" x14ac:dyDescent="0.3">
      <c r="C15" s="29">
        <v>66</v>
      </c>
      <c r="D15" s="29">
        <v>49</v>
      </c>
      <c r="E15" s="29">
        <v>13</v>
      </c>
    </row>
    <row r="16" spans="3:10" ht="15" customHeight="1" x14ac:dyDescent="0.3">
      <c r="C16" s="29">
        <v>0</v>
      </c>
      <c r="D16" s="29">
        <v>0</v>
      </c>
      <c r="E16" s="29">
        <v>28</v>
      </c>
    </row>
    <row r="17" spans="3:8" ht="15" customHeight="1" x14ac:dyDescent="0.3">
      <c r="C17" s="29">
        <v>0</v>
      </c>
      <c r="D17" s="29">
        <v>5</v>
      </c>
      <c r="E17" s="29">
        <v>11</v>
      </c>
    </row>
    <row r="18" spans="3:8" ht="15" customHeight="1" x14ac:dyDescent="0.3">
      <c r="C18" s="29">
        <v>0</v>
      </c>
      <c r="D18" s="29">
        <v>46</v>
      </c>
      <c r="E18" s="29">
        <v>4</v>
      </c>
    </row>
    <row r="19" spans="3:8" ht="15" customHeight="1" x14ac:dyDescent="0.3">
      <c r="C19" s="29">
        <v>0</v>
      </c>
      <c r="D19" s="29">
        <v>21</v>
      </c>
      <c r="E19" s="29">
        <v>32</v>
      </c>
    </row>
    <row r="20" spans="3:8" x14ac:dyDescent="0.3">
      <c r="C20" s="3"/>
      <c r="D20" s="3"/>
      <c r="E20" s="3"/>
      <c r="G20" s="47"/>
      <c r="H20" s="48"/>
    </row>
  </sheetData>
  <mergeCells count="4">
    <mergeCell ref="C4:E4"/>
    <mergeCell ref="G4:J4"/>
    <mergeCell ref="C13:E13"/>
    <mergeCell ref="G13:J13"/>
  </mergeCells>
  <conditionalFormatting sqref="C6:E10">
    <cfRule type="cellIs" dxfId="2" priority="1" operator="lessThan">
      <formula>10</formula>
    </cfRule>
    <cfRule type="cellIs" dxfId="1" priority="3" operator="lessThan">
      <formula>10</formula>
    </cfRule>
  </conditionalFormatting>
  <conditionalFormatting sqref="C15:E19">
    <cfRule type="cellIs" dxfId="0" priority="2" operator="between">
      <formula>15</formula>
      <formula>30</formula>
    </cfRule>
  </conditionalFormatting>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3BA5B-2A37-4443-8858-E639DD578496}">
  <sheetPr>
    <tabColor theme="9" tint="0.39997558519241921"/>
  </sheetPr>
  <dimension ref="B1:I24"/>
  <sheetViews>
    <sheetView showGridLines="0" workbookViewId="0">
      <selection activeCell="E29" sqref="E29"/>
    </sheetView>
  </sheetViews>
  <sheetFormatPr defaultRowHeight="14.4" x14ac:dyDescent="0.3"/>
  <cols>
    <col min="2" max="2" width="10.77734375" bestFit="1" customWidth="1"/>
    <col min="3" max="3" width="10.5546875" bestFit="1" customWidth="1"/>
    <col min="4" max="4" width="21.77734375" bestFit="1" customWidth="1"/>
    <col min="5" max="5" width="14.88671875" customWidth="1"/>
    <col min="6" max="6" width="22.5546875" customWidth="1"/>
    <col min="7" max="7" width="10.5546875" customWidth="1"/>
    <col min="8" max="8" width="21.77734375" customWidth="1"/>
  </cols>
  <sheetData>
    <row r="1" spans="2:8" x14ac:dyDescent="0.3">
      <c r="B1" s="63" t="s">
        <v>242</v>
      </c>
      <c r="C1" s="14" t="s">
        <v>0</v>
      </c>
      <c r="H1" s="14" t="s">
        <v>189</v>
      </c>
    </row>
    <row r="3" spans="2:8" x14ac:dyDescent="0.3">
      <c r="B3" s="15" t="s">
        <v>1</v>
      </c>
      <c r="C3" s="15" t="s">
        <v>2</v>
      </c>
      <c r="D3" s="15" t="s">
        <v>3</v>
      </c>
      <c r="E3" s="15" t="s">
        <v>4</v>
      </c>
      <c r="F3" s="15" t="s">
        <v>5</v>
      </c>
    </row>
    <row r="4" spans="2:8" hidden="1" x14ac:dyDescent="0.3">
      <c r="B4" t="s">
        <v>6</v>
      </c>
      <c r="C4" t="s">
        <v>7</v>
      </c>
      <c r="D4" t="s">
        <v>8</v>
      </c>
      <c r="E4">
        <v>500000</v>
      </c>
      <c r="F4">
        <v>14357</v>
      </c>
    </row>
    <row r="5" spans="2:8" hidden="1" x14ac:dyDescent="0.3">
      <c r="B5" t="s">
        <v>6</v>
      </c>
      <c r="C5" t="s">
        <v>7</v>
      </c>
      <c r="D5" t="s">
        <v>9</v>
      </c>
      <c r="E5">
        <v>500000</v>
      </c>
      <c r="F5">
        <v>38827</v>
      </c>
    </row>
    <row r="6" spans="2:8" hidden="1" x14ac:dyDescent="0.3">
      <c r="B6" t="s">
        <v>10</v>
      </c>
      <c r="C6" t="s">
        <v>11</v>
      </c>
      <c r="D6" t="s">
        <v>12</v>
      </c>
      <c r="E6">
        <v>60737</v>
      </c>
      <c r="F6">
        <v>24176</v>
      </c>
      <c r="G6" s="3"/>
    </row>
    <row r="7" spans="2:8" hidden="1" x14ac:dyDescent="0.3">
      <c r="B7" t="s">
        <v>13</v>
      </c>
      <c r="C7" t="s">
        <v>14</v>
      </c>
      <c r="D7" t="s">
        <v>15</v>
      </c>
      <c r="E7">
        <v>442431</v>
      </c>
      <c r="F7">
        <v>48106</v>
      </c>
    </row>
    <row r="8" spans="2:8" hidden="1" x14ac:dyDescent="0.3">
      <c r="B8" t="s">
        <v>16</v>
      </c>
      <c r="C8" t="s">
        <v>11</v>
      </c>
      <c r="D8" t="s">
        <v>17</v>
      </c>
      <c r="E8">
        <v>277917</v>
      </c>
      <c r="F8">
        <v>17309</v>
      </c>
    </row>
    <row r="9" spans="2:8" hidden="1" x14ac:dyDescent="0.3">
      <c r="B9" t="s">
        <v>18</v>
      </c>
      <c r="C9" t="s">
        <v>14</v>
      </c>
      <c r="D9" t="s">
        <v>8</v>
      </c>
      <c r="E9">
        <v>282000</v>
      </c>
      <c r="F9">
        <v>44779</v>
      </c>
    </row>
    <row r="10" spans="2:8" hidden="1" x14ac:dyDescent="0.3">
      <c r="B10" t="s">
        <v>19</v>
      </c>
      <c r="C10" t="s">
        <v>20</v>
      </c>
      <c r="D10" t="s">
        <v>12</v>
      </c>
      <c r="E10">
        <v>284896</v>
      </c>
      <c r="F10">
        <v>28207</v>
      </c>
    </row>
    <row r="11" spans="2:8" hidden="1" x14ac:dyDescent="0.3">
      <c r="B11" t="s">
        <v>21</v>
      </c>
      <c r="C11" t="s">
        <v>7</v>
      </c>
      <c r="D11" t="s">
        <v>12</v>
      </c>
      <c r="E11">
        <v>183510</v>
      </c>
      <c r="F11">
        <v>45182</v>
      </c>
    </row>
    <row r="12" spans="2:8" hidden="1" x14ac:dyDescent="0.3">
      <c r="B12" t="s">
        <v>13</v>
      </c>
      <c r="C12" t="s">
        <v>14</v>
      </c>
      <c r="D12" t="s">
        <v>15</v>
      </c>
      <c r="E12">
        <v>569459</v>
      </c>
      <c r="F12">
        <v>22735</v>
      </c>
    </row>
    <row r="13" spans="2:8" hidden="1" x14ac:dyDescent="0.3">
      <c r="B13" t="s">
        <v>13</v>
      </c>
      <c r="C13" t="s">
        <v>7</v>
      </c>
      <c r="D13" t="s">
        <v>12</v>
      </c>
      <c r="E13">
        <v>480431</v>
      </c>
      <c r="F13">
        <v>45863</v>
      </c>
    </row>
    <row r="14" spans="2:8" hidden="1" x14ac:dyDescent="0.3">
      <c r="B14" t="s">
        <v>22</v>
      </c>
      <c r="C14" t="s">
        <v>14</v>
      </c>
      <c r="D14" t="s">
        <v>15</v>
      </c>
      <c r="E14">
        <v>497206</v>
      </c>
      <c r="F14">
        <v>46092</v>
      </c>
    </row>
    <row r="15" spans="2:8" hidden="1" x14ac:dyDescent="0.3">
      <c r="B15" t="s">
        <v>22</v>
      </c>
      <c r="C15" t="s">
        <v>23</v>
      </c>
      <c r="D15" t="s">
        <v>24</v>
      </c>
      <c r="E15">
        <v>156106</v>
      </c>
      <c r="F15">
        <v>47983</v>
      </c>
    </row>
    <row r="16" spans="2:8" hidden="1" x14ac:dyDescent="0.3">
      <c r="B16" t="s">
        <v>6</v>
      </c>
      <c r="C16" t="s">
        <v>7</v>
      </c>
      <c r="D16" t="s">
        <v>8</v>
      </c>
      <c r="E16">
        <v>346524</v>
      </c>
      <c r="F16">
        <v>26223</v>
      </c>
    </row>
    <row r="17" spans="2:9" x14ac:dyDescent="0.3">
      <c r="B17" t="s">
        <v>6</v>
      </c>
      <c r="C17" t="s">
        <v>14</v>
      </c>
      <c r="D17" t="s">
        <v>15</v>
      </c>
      <c r="E17">
        <v>157420</v>
      </c>
      <c r="F17">
        <v>44632</v>
      </c>
    </row>
    <row r="18" spans="2:9" hidden="1" x14ac:dyDescent="0.3">
      <c r="B18" t="s">
        <v>25</v>
      </c>
      <c r="C18" t="s">
        <v>14</v>
      </c>
      <c r="D18" t="s">
        <v>12</v>
      </c>
      <c r="E18">
        <v>385913</v>
      </c>
      <c r="F18">
        <v>49369</v>
      </c>
    </row>
    <row r="19" spans="2:9" x14ac:dyDescent="0.3">
      <c r="B19" t="s">
        <v>231</v>
      </c>
      <c r="F19">
        <f>SUBTOTAL(109,Table1[Total Merchandise Sold])</f>
        <v>44632</v>
      </c>
    </row>
    <row r="21" spans="2:9" ht="15" thickBot="1" x14ac:dyDescent="0.35"/>
    <row r="22" spans="2:9" ht="15" thickBot="1" x14ac:dyDescent="0.35">
      <c r="B22" s="66"/>
      <c r="C22" s="67"/>
      <c r="D22" s="67"/>
      <c r="E22" s="67"/>
      <c r="F22" s="67"/>
      <c r="G22" s="17"/>
      <c r="H22" s="17"/>
      <c r="I22" s="18"/>
    </row>
    <row r="23" spans="2:9" ht="29.25" customHeight="1" thickBot="1" x14ac:dyDescent="0.35">
      <c r="B23" s="16" t="s">
        <v>58</v>
      </c>
      <c r="C23" s="17"/>
      <c r="D23" s="17"/>
      <c r="E23" s="17"/>
      <c r="F23" s="17"/>
    </row>
    <row r="24" spans="2:9" x14ac:dyDescent="0.3">
      <c r="C24" s="15"/>
    </row>
  </sheetData>
  <mergeCells count="1">
    <mergeCell ref="B22:F22"/>
  </mergeCells>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E4344-FD68-4F2D-99A8-00E87365DA0B}">
  <sheetPr>
    <tabColor theme="4" tint="0.59999389629810485"/>
  </sheetPr>
  <dimension ref="A1:J14"/>
  <sheetViews>
    <sheetView showGridLines="0" zoomScale="115" zoomScaleNormal="115" workbookViewId="0">
      <selection activeCell="F9" sqref="F9"/>
    </sheetView>
  </sheetViews>
  <sheetFormatPr defaultRowHeight="14.4" x14ac:dyDescent="0.3"/>
  <cols>
    <col min="1" max="1" width="13.21875" customWidth="1"/>
    <col min="2" max="2" width="21.5546875" bestFit="1" customWidth="1"/>
    <col min="3" max="3" width="10.5546875" customWidth="1"/>
    <col min="4" max="4" width="13.21875" customWidth="1"/>
    <col min="5" max="5" width="12.77734375" customWidth="1"/>
    <col min="6" max="6" width="15.21875" customWidth="1"/>
    <col min="7" max="7" width="1.77734375" customWidth="1"/>
    <col min="8" max="10" width="12.21875" customWidth="1"/>
  </cols>
  <sheetData>
    <row r="1" spans="1:10" x14ac:dyDescent="0.3">
      <c r="A1" s="20"/>
      <c r="B1" s="21"/>
      <c r="C1" s="21"/>
      <c r="D1" s="21"/>
      <c r="E1" s="21"/>
      <c r="F1" s="21"/>
      <c r="G1" s="21"/>
      <c r="H1" s="21"/>
      <c r="I1" s="21"/>
      <c r="J1" s="22"/>
    </row>
    <row r="2" spans="1:10" x14ac:dyDescent="0.3">
      <c r="A2" s="23"/>
      <c r="J2" s="24"/>
    </row>
    <row r="3" spans="1:10" ht="27.75" customHeight="1" x14ac:dyDescent="0.3">
      <c r="A3" s="25"/>
      <c r="B3" s="68" t="s">
        <v>191</v>
      </c>
      <c r="C3" s="68"/>
      <c r="D3" s="68"/>
      <c r="E3" s="68"/>
      <c r="F3" s="68"/>
      <c r="G3" s="68"/>
      <c r="H3" s="68"/>
      <c r="I3" s="68"/>
      <c r="J3" s="24"/>
    </row>
    <row r="4" spans="1:10" ht="27.75" customHeight="1" x14ac:dyDescent="0.3">
      <c r="A4" s="23"/>
      <c r="C4" s="70" t="s">
        <v>190</v>
      </c>
      <c r="D4" s="70"/>
      <c r="E4" s="70"/>
      <c r="F4" s="70"/>
      <c r="J4" s="24"/>
    </row>
    <row r="5" spans="1:10" x14ac:dyDescent="0.3">
      <c r="A5" s="23"/>
      <c r="H5" s="69" t="s">
        <v>192</v>
      </c>
      <c r="I5" s="69"/>
      <c r="J5" s="24"/>
    </row>
    <row r="6" spans="1:10" x14ac:dyDescent="0.3">
      <c r="A6" s="27"/>
      <c r="B6" s="1" t="s">
        <v>193</v>
      </c>
      <c r="C6" s="1" t="s">
        <v>194</v>
      </c>
      <c r="D6" s="1" t="s">
        <v>197</v>
      </c>
      <c r="E6" s="1" t="s">
        <v>195</v>
      </c>
      <c r="F6" s="1" t="s">
        <v>198</v>
      </c>
      <c r="G6" s="26"/>
      <c r="H6" s="26"/>
      <c r="I6" s="26"/>
      <c r="J6" s="28"/>
    </row>
    <row r="7" spans="1:10" ht="15.6" x14ac:dyDescent="0.3">
      <c r="A7" s="31"/>
      <c r="B7" s="7" t="s">
        <v>38</v>
      </c>
      <c r="C7" s="2">
        <v>9800</v>
      </c>
      <c r="D7" s="29">
        <v>125</v>
      </c>
      <c r="E7" s="38"/>
      <c r="F7" s="38"/>
      <c r="G7" s="30"/>
      <c r="H7" s="30"/>
      <c r="I7" s="30"/>
      <c r="J7" s="32"/>
    </row>
    <row r="8" spans="1:10" ht="22.05" customHeight="1" x14ac:dyDescent="0.3">
      <c r="A8" s="31"/>
      <c r="B8" s="7" t="s">
        <v>40</v>
      </c>
      <c r="C8" s="2">
        <v>5487</v>
      </c>
      <c r="D8" s="29">
        <v>190</v>
      </c>
      <c r="E8" s="38"/>
      <c r="F8" s="38"/>
      <c r="G8" s="30"/>
      <c r="H8" s="30"/>
      <c r="I8" s="30"/>
      <c r="J8" s="32"/>
    </row>
    <row r="9" spans="1:10" ht="22.05" customHeight="1" x14ac:dyDescent="0.3">
      <c r="A9" s="31"/>
      <c r="B9" s="7" t="s">
        <v>42</v>
      </c>
      <c r="C9" s="2">
        <v>2458</v>
      </c>
      <c r="D9" s="29">
        <v>275</v>
      </c>
      <c r="E9" s="38"/>
      <c r="F9" s="38"/>
      <c r="G9" s="30"/>
      <c r="H9" s="30"/>
      <c r="I9" s="30"/>
      <c r="J9" s="32"/>
    </row>
    <row r="10" spans="1:10" ht="22.05" customHeight="1" x14ac:dyDescent="0.3">
      <c r="A10" s="31"/>
      <c r="B10" s="7" t="s">
        <v>43</v>
      </c>
      <c r="C10" s="2">
        <v>8574</v>
      </c>
      <c r="D10" s="29">
        <v>230</v>
      </c>
      <c r="E10" s="38"/>
      <c r="F10" s="38"/>
      <c r="G10" s="30"/>
      <c r="H10" s="30"/>
      <c r="I10" s="30"/>
      <c r="J10" s="32"/>
    </row>
    <row r="11" spans="1:10" ht="22.05" customHeight="1" x14ac:dyDescent="0.3">
      <c r="A11" s="23"/>
      <c r="J11" s="24"/>
    </row>
    <row r="12" spans="1:10" x14ac:dyDescent="0.3">
      <c r="A12" s="23"/>
      <c r="C12" s="33" t="s">
        <v>196</v>
      </c>
      <c r="D12" s="34">
        <v>0.08</v>
      </c>
      <c r="J12" s="24"/>
    </row>
    <row r="13" spans="1:10" x14ac:dyDescent="0.3">
      <c r="A13" s="23"/>
      <c r="J13" s="24"/>
    </row>
    <row r="14" spans="1:10" ht="15" thickBot="1" x14ac:dyDescent="0.35">
      <c r="A14" s="35"/>
      <c r="B14" s="36"/>
      <c r="C14" s="36"/>
      <c r="D14" s="36"/>
      <c r="E14" s="36"/>
      <c r="F14" s="36"/>
      <c r="G14" s="36"/>
      <c r="H14" s="36"/>
      <c r="I14" s="36"/>
      <c r="J14" s="37"/>
    </row>
  </sheetData>
  <mergeCells count="3">
    <mergeCell ref="B3:I3"/>
    <mergeCell ref="H5:I5"/>
    <mergeCell ref="C4:F4"/>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B9CB7-062F-43D0-B313-754205C129CA}">
  <dimension ref="A3:B10"/>
  <sheetViews>
    <sheetView workbookViewId="0">
      <selection activeCell="A4" sqref="A4"/>
    </sheetView>
  </sheetViews>
  <sheetFormatPr defaultRowHeight="14.4" x14ac:dyDescent="0.3"/>
  <cols>
    <col min="1" max="1" width="20.33203125" bestFit="1" customWidth="1"/>
    <col min="2" max="2" width="24.33203125" bestFit="1" customWidth="1"/>
    <col min="3" max="279" width="15.5546875" bestFit="1" customWidth="1"/>
    <col min="280" max="280" width="10.77734375" bestFit="1" customWidth="1"/>
  </cols>
  <sheetData>
    <row r="3" spans="1:2" x14ac:dyDescent="0.3">
      <c r="A3" s="90" t="s">
        <v>246</v>
      </c>
      <c r="B3" t="s">
        <v>247</v>
      </c>
    </row>
    <row r="4" spans="1:2" x14ac:dyDescent="0.3">
      <c r="A4" s="91" t="s">
        <v>42</v>
      </c>
      <c r="B4" s="93">
        <v>9.4139683887109027E-2</v>
      </c>
    </row>
    <row r="5" spans="1:2" x14ac:dyDescent="0.3">
      <c r="A5" s="91" t="s">
        <v>38</v>
      </c>
      <c r="B5" s="93">
        <v>0.10240966958588608</v>
      </c>
    </row>
    <row r="6" spans="1:2" x14ac:dyDescent="0.3">
      <c r="A6" s="91" t="s">
        <v>46</v>
      </c>
      <c r="B6" s="93">
        <v>0.20096019916965857</v>
      </c>
    </row>
    <row r="7" spans="1:2" x14ac:dyDescent="0.3">
      <c r="A7" s="91" t="s">
        <v>40</v>
      </c>
      <c r="B7" s="93">
        <v>0.22245079528318903</v>
      </c>
    </row>
    <row r="8" spans="1:2" x14ac:dyDescent="0.3">
      <c r="A8" s="91" t="s">
        <v>43</v>
      </c>
      <c r="B8" s="93">
        <v>0.28162526112479724</v>
      </c>
    </row>
    <row r="9" spans="1:2" x14ac:dyDescent="0.3">
      <c r="A9" s="91" t="s">
        <v>47</v>
      </c>
      <c r="B9" s="93">
        <v>9.8414390949360081E-2</v>
      </c>
    </row>
    <row r="10" spans="1:2" x14ac:dyDescent="0.3">
      <c r="A10" s="91" t="s">
        <v>245</v>
      </c>
      <c r="B10" s="93">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A1002-8350-4CFE-A239-A8D18BCE19C6}">
  <dimension ref="A1:B16"/>
  <sheetViews>
    <sheetView workbookViewId="0">
      <selection activeCell="L16" sqref="L16"/>
    </sheetView>
  </sheetViews>
  <sheetFormatPr defaultRowHeight="14.4" x14ac:dyDescent="0.3"/>
  <cols>
    <col min="1" max="1" width="18.21875" bestFit="1" customWidth="1"/>
    <col min="2" max="2" width="24.33203125" bestFit="1" customWidth="1"/>
  </cols>
  <sheetData>
    <row r="1" spans="1:2" x14ac:dyDescent="0.3">
      <c r="A1" s="90" t="s">
        <v>233</v>
      </c>
      <c r="B1" t="s">
        <v>39</v>
      </c>
    </row>
    <row r="3" spans="1:2" x14ac:dyDescent="0.3">
      <c r="A3" s="90" t="s">
        <v>246</v>
      </c>
      <c r="B3" t="s">
        <v>247</v>
      </c>
    </row>
    <row r="4" spans="1:2" x14ac:dyDescent="0.3">
      <c r="A4" s="91" t="s">
        <v>46</v>
      </c>
      <c r="B4" s="92">
        <v>862863</v>
      </c>
    </row>
    <row r="5" spans="1:2" x14ac:dyDescent="0.3">
      <c r="A5" s="91" t="s">
        <v>40</v>
      </c>
      <c r="B5" s="92">
        <v>1382245</v>
      </c>
    </row>
    <row r="6" spans="1:2" x14ac:dyDescent="0.3">
      <c r="A6" s="91" t="s">
        <v>43</v>
      </c>
      <c r="B6" s="92">
        <v>1417070</v>
      </c>
    </row>
    <row r="7" spans="1:2" x14ac:dyDescent="0.3">
      <c r="A7" s="91" t="s">
        <v>245</v>
      </c>
      <c r="B7" s="92">
        <v>3662178</v>
      </c>
    </row>
    <row r="16" spans="1:2" x14ac:dyDescent="0.3">
      <c r="B16" t="s">
        <v>228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5F2A7-9309-4703-871B-DE19036B9C5D}">
  <sheetPr>
    <tabColor rgb="FFFFC000"/>
  </sheetPr>
  <dimension ref="C2:L282"/>
  <sheetViews>
    <sheetView topLeftCell="C1" workbookViewId="0">
      <selection activeCell="I5" sqref="I5"/>
    </sheetView>
  </sheetViews>
  <sheetFormatPr defaultColWidth="9.21875" defaultRowHeight="14.4" x14ac:dyDescent="0.3"/>
  <cols>
    <col min="1" max="2" width="9.21875" style="6"/>
    <col min="3" max="3" width="15.21875" style="6" customWidth="1"/>
    <col min="4" max="4" width="12.77734375" style="6" customWidth="1"/>
    <col min="5" max="5" width="24.33203125" style="6" customWidth="1"/>
    <col min="6" max="6" width="20.109375" style="6" customWidth="1"/>
    <col min="7" max="7" width="13.5546875" style="6" customWidth="1"/>
    <col min="8" max="8" width="5.5546875" style="6" customWidth="1"/>
    <col min="9" max="9" width="71.21875" style="6" bestFit="1" customWidth="1"/>
    <col min="10" max="16384" width="9.21875" style="6"/>
  </cols>
  <sheetData>
    <row r="2" spans="3:12" x14ac:dyDescent="0.3">
      <c r="I2" s="53" t="s">
        <v>241</v>
      </c>
      <c r="J2" s="19"/>
    </row>
    <row r="3" spans="3:12" ht="15.6" x14ac:dyDescent="0.3">
      <c r="C3" s="54" t="s">
        <v>32</v>
      </c>
      <c r="D3" s="55" t="s">
        <v>233</v>
      </c>
      <c r="E3" s="55" t="s">
        <v>33</v>
      </c>
      <c r="F3" s="55" t="s">
        <v>34</v>
      </c>
      <c r="G3" s="55" t="s">
        <v>35</v>
      </c>
      <c r="I3" s="71" t="s">
        <v>36</v>
      </c>
      <c r="J3" s="71"/>
      <c r="K3" s="71"/>
      <c r="L3" s="71"/>
    </row>
    <row r="4" spans="3:12" ht="15.6" x14ac:dyDescent="0.3">
      <c r="C4" s="8">
        <v>41121</v>
      </c>
      <c r="D4" s="7" t="s">
        <v>37</v>
      </c>
      <c r="E4" s="7" t="s">
        <v>38</v>
      </c>
      <c r="F4" s="7">
        <v>443713</v>
      </c>
      <c r="G4" s="7">
        <v>161</v>
      </c>
      <c r="I4" s="6" t="s">
        <v>57</v>
      </c>
      <c r="J4" s="19" t="s">
        <v>227</v>
      </c>
    </row>
    <row r="5" spans="3:12" ht="15.6" x14ac:dyDescent="0.3">
      <c r="C5" s="8">
        <v>41310</v>
      </c>
      <c r="D5" s="7" t="s">
        <v>39</v>
      </c>
      <c r="E5" s="7" t="s">
        <v>40</v>
      </c>
      <c r="F5" s="7">
        <v>250345</v>
      </c>
      <c r="G5" s="7">
        <v>414</v>
      </c>
      <c r="I5" s="6" t="s">
        <v>228</v>
      </c>
      <c r="J5" s="19" t="s">
        <v>227</v>
      </c>
    </row>
    <row r="6" spans="3:12" ht="15.6" x14ac:dyDescent="0.3">
      <c r="C6" s="8">
        <v>41564</v>
      </c>
      <c r="D6" s="7" t="s">
        <v>41</v>
      </c>
      <c r="E6" s="7" t="s">
        <v>42</v>
      </c>
      <c r="F6" s="7">
        <v>285916</v>
      </c>
      <c r="G6" s="7">
        <v>322</v>
      </c>
      <c r="J6" s="19"/>
    </row>
    <row r="7" spans="3:12" ht="15.6" x14ac:dyDescent="0.3">
      <c r="C7" s="8">
        <v>41302</v>
      </c>
      <c r="D7" s="7" t="s">
        <v>14</v>
      </c>
      <c r="E7" s="7" t="s">
        <v>43</v>
      </c>
      <c r="F7" s="7">
        <v>416911</v>
      </c>
      <c r="G7" s="7">
        <v>115</v>
      </c>
    </row>
    <row r="8" spans="3:12" ht="15.6" x14ac:dyDescent="0.3">
      <c r="C8" s="8">
        <v>41583</v>
      </c>
      <c r="D8" s="7" t="s">
        <v>44</v>
      </c>
      <c r="E8" s="7" t="s">
        <v>43</v>
      </c>
      <c r="F8" s="7">
        <v>103438</v>
      </c>
      <c r="G8" s="7">
        <v>415</v>
      </c>
    </row>
    <row r="9" spans="3:12" ht="28.8" x14ac:dyDescent="0.3">
      <c r="C9" s="8">
        <v>41453</v>
      </c>
      <c r="D9" s="7" t="s">
        <v>45</v>
      </c>
      <c r="E9" s="7" t="s">
        <v>46</v>
      </c>
      <c r="F9" s="7">
        <v>448151</v>
      </c>
      <c r="G9" s="7">
        <v>326</v>
      </c>
      <c r="I9" s="61" t="s">
        <v>244</v>
      </c>
    </row>
    <row r="10" spans="3:12" ht="15.6" x14ac:dyDescent="0.3">
      <c r="C10" s="8">
        <v>40854</v>
      </c>
      <c r="D10" s="7" t="s">
        <v>11</v>
      </c>
      <c r="E10" s="7" t="s">
        <v>47</v>
      </c>
      <c r="F10" s="7">
        <v>404850</v>
      </c>
      <c r="G10" s="7">
        <v>210</v>
      </c>
    </row>
    <row r="11" spans="3:12" ht="15.6" x14ac:dyDescent="0.3">
      <c r="C11" s="8">
        <v>41013</v>
      </c>
      <c r="D11" s="7" t="s">
        <v>41</v>
      </c>
      <c r="E11" s="7" t="s">
        <v>38</v>
      </c>
      <c r="F11" s="7">
        <v>200894</v>
      </c>
      <c r="G11" s="7">
        <v>461</v>
      </c>
    </row>
    <row r="12" spans="3:12" ht="15.6" x14ac:dyDescent="0.3">
      <c r="C12" s="8">
        <v>41926</v>
      </c>
      <c r="D12" s="7" t="s">
        <v>48</v>
      </c>
      <c r="E12" s="7" t="s">
        <v>40</v>
      </c>
      <c r="F12" s="7">
        <v>243379</v>
      </c>
      <c r="G12" s="7">
        <v>335</v>
      </c>
    </row>
    <row r="13" spans="3:12" ht="15.6" x14ac:dyDescent="0.3">
      <c r="C13" s="8">
        <v>40936</v>
      </c>
      <c r="D13" s="7" t="s">
        <v>49</v>
      </c>
      <c r="E13" s="7" t="s">
        <v>42</v>
      </c>
      <c r="F13" s="7">
        <v>162039</v>
      </c>
      <c r="G13" s="7">
        <v>266</v>
      </c>
    </row>
    <row r="14" spans="3:12" ht="15.6" x14ac:dyDescent="0.3">
      <c r="C14" s="8">
        <v>40638</v>
      </c>
      <c r="D14" s="7" t="s">
        <v>50</v>
      </c>
      <c r="E14" s="7" t="s">
        <v>43</v>
      </c>
      <c r="F14" s="7">
        <v>210096</v>
      </c>
      <c r="G14" s="7">
        <v>462</v>
      </c>
    </row>
    <row r="15" spans="3:12" ht="15.6" x14ac:dyDescent="0.3">
      <c r="C15" s="8">
        <v>41018</v>
      </c>
      <c r="D15" s="7" t="s">
        <v>51</v>
      </c>
      <c r="E15" s="7" t="s">
        <v>43</v>
      </c>
      <c r="F15" s="7">
        <v>143097</v>
      </c>
      <c r="G15" s="7">
        <v>149</v>
      </c>
    </row>
    <row r="16" spans="3:12" ht="15.6" x14ac:dyDescent="0.3">
      <c r="C16" s="8">
        <v>40904</v>
      </c>
      <c r="D16" s="7" t="s">
        <v>52</v>
      </c>
      <c r="E16" s="7" t="s">
        <v>46</v>
      </c>
      <c r="F16" s="7">
        <v>438414</v>
      </c>
      <c r="G16" s="7">
        <v>320</v>
      </c>
    </row>
    <row r="17" spans="3:7" ht="15.6" x14ac:dyDescent="0.3">
      <c r="C17" s="8">
        <v>41226</v>
      </c>
      <c r="D17" s="7" t="s">
        <v>53</v>
      </c>
      <c r="E17" s="7" t="s">
        <v>47</v>
      </c>
      <c r="F17" s="7">
        <v>291172</v>
      </c>
      <c r="G17" s="7">
        <v>496</v>
      </c>
    </row>
    <row r="18" spans="3:7" ht="15.6" x14ac:dyDescent="0.3">
      <c r="C18" s="8">
        <v>41431</v>
      </c>
      <c r="D18" s="7" t="s">
        <v>54</v>
      </c>
      <c r="E18" s="7" t="s">
        <v>38</v>
      </c>
      <c r="F18" s="7">
        <v>274250</v>
      </c>
      <c r="G18" s="7">
        <v>442</v>
      </c>
    </row>
    <row r="19" spans="3:7" ht="15.6" x14ac:dyDescent="0.3">
      <c r="C19" s="8">
        <v>41851</v>
      </c>
      <c r="D19" s="7" t="s">
        <v>55</v>
      </c>
      <c r="E19" s="7" t="s">
        <v>40</v>
      </c>
      <c r="F19" s="7">
        <v>434277</v>
      </c>
      <c r="G19" s="7">
        <v>346</v>
      </c>
    </row>
    <row r="20" spans="3:7" ht="15.6" x14ac:dyDescent="0.3">
      <c r="C20" s="8">
        <v>41946</v>
      </c>
      <c r="D20" s="7" t="s">
        <v>37</v>
      </c>
      <c r="E20" s="7" t="s">
        <v>42</v>
      </c>
      <c r="F20" s="7">
        <v>227813</v>
      </c>
      <c r="G20" s="7">
        <v>266</v>
      </c>
    </row>
    <row r="21" spans="3:7" ht="15.6" x14ac:dyDescent="0.3">
      <c r="C21" s="8">
        <v>41890</v>
      </c>
      <c r="D21" s="7" t="s">
        <v>39</v>
      </c>
      <c r="E21" s="7" t="s">
        <v>43</v>
      </c>
      <c r="F21" s="7">
        <v>346929</v>
      </c>
      <c r="G21" s="7">
        <v>157</v>
      </c>
    </row>
    <row r="22" spans="3:7" ht="15.6" x14ac:dyDescent="0.3">
      <c r="C22" s="8">
        <v>41670</v>
      </c>
      <c r="D22" s="7" t="s">
        <v>56</v>
      </c>
      <c r="E22" s="7" t="s">
        <v>43</v>
      </c>
      <c r="F22" s="7">
        <v>148026</v>
      </c>
      <c r="G22" s="7">
        <v>498</v>
      </c>
    </row>
    <row r="23" spans="3:7" ht="15.6" x14ac:dyDescent="0.3">
      <c r="C23" s="8">
        <v>41978</v>
      </c>
      <c r="D23" s="7" t="s">
        <v>14</v>
      </c>
      <c r="E23" s="7" t="s">
        <v>46</v>
      </c>
      <c r="F23" s="7">
        <v>131788</v>
      </c>
      <c r="G23" s="7">
        <v>248</v>
      </c>
    </row>
    <row r="24" spans="3:7" ht="15.6" x14ac:dyDescent="0.3">
      <c r="C24" s="8">
        <v>41129</v>
      </c>
      <c r="D24" s="7" t="s">
        <v>44</v>
      </c>
      <c r="E24" s="7" t="s">
        <v>47</v>
      </c>
      <c r="F24" s="7">
        <v>250183</v>
      </c>
      <c r="G24" s="7">
        <v>196</v>
      </c>
    </row>
    <row r="25" spans="3:7" ht="15.6" x14ac:dyDescent="0.3">
      <c r="C25" s="8">
        <v>40845</v>
      </c>
      <c r="D25" s="7" t="s">
        <v>45</v>
      </c>
      <c r="E25" s="7" t="s">
        <v>38</v>
      </c>
      <c r="F25" s="7">
        <v>208963</v>
      </c>
      <c r="G25" s="7">
        <v>392</v>
      </c>
    </row>
    <row r="26" spans="3:7" ht="15.6" x14ac:dyDescent="0.3">
      <c r="C26" s="8">
        <v>40665</v>
      </c>
      <c r="D26" s="7" t="s">
        <v>11</v>
      </c>
      <c r="E26" s="7" t="s">
        <v>40</v>
      </c>
      <c r="F26" s="7">
        <v>346632</v>
      </c>
      <c r="G26" s="7">
        <v>481</v>
      </c>
    </row>
    <row r="27" spans="3:7" ht="15.6" x14ac:dyDescent="0.3">
      <c r="C27" s="8">
        <v>41332</v>
      </c>
      <c r="D27" s="7" t="s">
        <v>41</v>
      </c>
      <c r="E27" s="7" t="s">
        <v>42</v>
      </c>
      <c r="F27" s="7">
        <v>277498</v>
      </c>
      <c r="G27" s="7">
        <v>260</v>
      </c>
    </row>
    <row r="28" spans="3:7" ht="15.6" x14ac:dyDescent="0.3">
      <c r="C28" s="8">
        <v>41851</v>
      </c>
      <c r="D28" s="7" t="s">
        <v>48</v>
      </c>
      <c r="E28" s="7" t="s">
        <v>43</v>
      </c>
      <c r="F28" s="7">
        <v>478017</v>
      </c>
      <c r="G28" s="7">
        <v>250</v>
      </c>
    </row>
    <row r="29" spans="3:7" ht="15.6" x14ac:dyDescent="0.3">
      <c r="C29" s="8">
        <v>41887</v>
      </c>
      <c r="D29" s="7" t="s">
        <v>49</v>
      </c>
      <c r="E29" s="7" t="s">
        <v>43</v>
      </c>
      <c r="F29" s="7">
        <v>215980</v>
      </c>
      <c r="G29" s="7">
        <v>298</v>
      </c>
    </row>
    <row r="30" spans="3:7" ht="15.6" x14ac:dyDescent="0.3">
      <c r="C30" s="8">
        <v>40894</v>
      </c>
      <c r="D30" s="7" t="s">
        <v>50</v>
      </c>
      <c r="E30" s="7" t="s">
        <v>46</v>
      </c>
      <c r="F30" s="7">
        <v>240696</v>
      </c>
      <c r="G30" s="7">
        <v>486</v>
      </c>
    </row>
    <row r="31" spans="3:7" ht="15.6" x14ac:dyDescent="0.3">
      <c r="C31" s="8">
        <v>40616</v>
      </c>
      <c r="D31" s="7" t="s">
        <v>51</v>
      </c>
      <c r="E31" s="7" t="s">
        <v>47</v>
      </c>
      <c r="F31" s="7">
        <v>214757</v>
      </c>
      <c r="G31" s="7">
        <v>107</v>
      </c>
    </row>
    <row r="32" spans="3:7" ht="15.6" x14ac:dyDescent="0.3">
      <c r="C32" s="8">
        <v>41344</v>
      </c>
      <c r="D32" s="7" t="s">
        <v>52</v>
      </c>
      <c r="E32" s="7" t="s">
        <v>38</v>
      </c>
      <c r="F32" s="7">
        <v>207730</v>
      </c>
      <c r="G32" s="7">
        <v>253</v>
      </c>
    </row>
    <row r="33" spans="3:7" ht="15.6" x14ac:dyDescent="0.3">
      <c r="C33" s="8">
        <v>40964</v>
      </c>
      <c r="D33" s="7" t="s">
        <v>53</v>
      </c>
      <c r="E33" s="7" t="s">
        <v>40</v>
      </c>
      <c r="F33" s="7">
        <v>106652</v>
      </c>
      <c r="G33" s="7">
        <v>368</v>
      </c>
    </row>
    <row r="34" spans="3:7" ht="15.6" x14ac:dyDescent="0.3">
      <c r="C34" s="8">
        <v>40905</v>
      </c>
      <c r="D34" s="7" t="s">
        <v>54</v>
      </c>
      <c r="E34" s="7" t="s">
        <v>42</v>
      </c>
      <c r="F34" s="7">
        <v>242923</v>
      </c>
      <c r="G34" s="7">
        <v>187</v>
      </c>
    </row>
    <row r="35" spans="3:7" ht="15.6" x14ac:dyDescent="0.3">
      <c r="C35" s="8">
        <v>41107</v>
      </c>
      <c r="D35" s="7" t="s">
        <v>55</v>
      </c>
      <c r="E35" s="7" t="s">
        <v>43</v>
      </c>
      <c r="F35" s="7">
        <v>259037</v>
      </c>
      <c r="G35" s="7">
        <v>366</v>
      </c>
    </row>
    <row r="36" spans="3:7" ht="15.6" x14ac:dyDescent="0.3">
      <c r="C36" s="8">
        <v>41197</v>
      </c>
      <c r="D36" s="7" t="s">
        <v>37</v>
      </c>
      <c r="E36" s="7" t="s">
        <v>43</v>
      </c>
      <c r="F36" s="7">
        <v>206583</v>
      </c>
      <c r="G36" s="7">
        <v>475</v>
      </c>
    </row>
    <row r="37" spans="3:7" ht="15.6" x14ac:dyDescent="0.3">
      <c r="C37" s="8">
        <v>40850</v>
      </c>
      <c r="D37" s="7" t="s">
        <v>39</v>
      </c>
      <c r="E37" s="7" t="s">
        <v>46</v>
      </c>
      <c r="F37" s="7">
        <v>289253</v>
      </c>
      <c r="G37" s="7">
        <v>271</v>
      </c>
    </row>
    <row r="38" spans="3:7" ht="15.6" x14ac:dyDescent="0.3">
      <c r="C38" s="8">
        <v>40889</v>
      </c>
      <c r="D38" s="7" t="s">
        <v>56</v>
      </c>
      <c r="E38" s="7" t="s">
        <v>47</v>
      </c>
      <c r="F38" s="7">
        <v>201386</v>
      </c>
      <c r="G38" s="7">
        <v>341</v>
      </c>
    </row>
    <row r="39" spans="3:7" ht="15.6" x14ac:dyDescent="0.3">
      <c r="C39" s="8">
        <v>40800</v>
      </c>
      <c r="D39" s="7" t="s">
        <v>14</v>
      </c>
      <c r="E39" s="7" t="s">
        <v>38</v>
      </c>
      <c r="F39" s="7">
        <v>479975</v>
      </c>
      <c r="G39" s="7">
        <v>471</v>
      </c>
    </row>
    <row r="40" spans="3:7" ht="15.6" x14ac:dyDescent="0.3">
      <c r="C40" s="8">
        <v>40800</v>
      </c>
      <c r="D40" s="7" t="s">
        <v>44</v>
      </c>
      <c r="E40" s="7" t="s">
        <v>40</v>
      </c>
      <c r="F40" s="7">
        <v>148120</v>
      </c>
      <c r="G40" s="7">
        <v>492</v>
      </c>
    </row>
    <row r="41" spans="3:7" ht="15.6" x14ac:dyDescent="0.3">
      <c r="C41" s="8">
        <v>41948</v>
      </c>
      <c r="D41" s="7" t="s">
        <v>45</v>
      </c>
      <c r="E41" s="7" t="s">
        <v>42</v>
      </c>
      <c r="F41" s="7">
        <v>215444</v>
      </c>
      <c r="G41" s="7">
        <v>216</v>
      </c>
    </row>
    <row r="42" spans="3:7" ht="15.6" x14ac:dyDescent="0.3">
      <c r="C42" s="8">
        <v>41653</v>
      </c>
      <c r="D42" s="7" t="s">
        <v>11</v>
      </c>
      <c r="E42" s="7" t="s">
        <v>43</v>
      </c>
      <c r="F42" s="7">
        <v>302223</v>
      </c>
      <c r="G42" s="7">
        <v>350</v>
      </c>
    </row>
    <row r="43" spans="3:7" ht="15.6" x14ac:dyDescent="0.3">
      <c r="C43" s="8">
        <v>40553</v>
      </c>
      <c r="D43" s="7" t="s">
        <v>41</v>
      </c>
      <c r="E43" s="7" t="s">
        <v>43</v>
      </c>
      <c r="F43" s="7">
        <v>129110</v>
      </c>
      <c r="G43" s="7">
        <v>484</v>
      </c>
    </row>
    <row r="44" spans="3:7" ht="15.6" x14ac:dyDescent="0.3">
      <c r="C44" s="8">
        <v>41508</v>
      </c>
      <c r="D44" s="7" t="s">
        <v>48</v>
      </c>
      <c r="E44" s="7" t="s">
        <v>46</v>
      </c>
      <c r="F44" s="7">
        <v>247739</v>
      </c>
      <c r="G44" s="7">
        <v>211</v>
      </c>
    </row>
    <row r="45" spans="3:7" ht="15.6" x14ac:dyDescent="0.3">
      <c r="C45" s="8">
        <v>41954</v>
      </c>
      <c r="D45" s="7" t="s">
        <v>49</v>
      </c>
      <c r="E45" s="7" t="s">
        <v>47</v>
      </c>
      <c r="F45" s="7">
        <v>346096</v>
      </c>
      <c r="G45" s="7">
        <v>174</v>
      </c>
    </row>
    <row r="46" spans="3:7" ht="15.6" x14ac:dyDescent="0.3">
      <c r="C46" s="8">
        <v>41908</v>
      </c>
      <c r="D46" s="7" t="s">
        <v>50</v>
      </c>
      <c r="E46" s="7" t="s">
        <v>38</v>
      </c>
      <c r="F46" s="7">
        <v>176250</v>
      </c>
      <c r="G46" s="7">
        <v>307</v>
      </c>
    </row>
    <row r="47" spans="3:7" ht="15.6" x14ac:dyDescent="0.3">
      <c r="C47" s="8">
        <v>41256</v>
      </c>
      <c r="D47" s="7" t="s">
        <v>51</v>
      </c>
      <c r="E47" s="7" t="s">
        <v>40</v>
      </c>
      <c r="F47" s="7">
        <v>356981</v>
      </c>
      <c r="G47" s="7">
        <v>275</v>
      </c>
    </row>
    <row r="48" spans="3:7" ht="15.6" x14ac:dyDescent="0.3">
      <c r="C48" s="8">
        <v>40809</v>
      </c>
      <c r="D48" s="7" t="s">
        <v>52</v>
      </c>
      <c r="E48" s="7" t="s">
        <v>42</v>
      </c>
      <c r="F48" s="7">
        <v>118743</v>
      </c>
      <c r="G48" s="7">
        <v>330</v>
      </c>
    </row>
    <row r="49" spans="3:7" ht="15.6" x14ac:dyDescent="0.3">
      <c r="C49" s="8">
        <v>40809</v>
      </c>
      <c r="D49" s="7" t="s">
        <v>53</v>
      </c>
      <c r="E49" s="7" t="s">
        <v>43</v>
      </c>
      <c r="F49" s="7">
        <v>401662</v>
      </c>
      <c r="G49" s="7">
        <v>226</v>
      </c>
    </row>
    <row r="50" spans="3:7" ht="15.6" x14ac:dyDescent="0.3">
      <c r="C50" s="8">
        <v>41341</v>
      </c>
      <c r="D50" s="7" t="s">
        <v>54</v>
      </c>
      <c r="E50" s="7" t="s">
        <v>43</v>
      </c>
      <c r="F50" s="7">
        <v>117061</v>
      </c>
      <c r="G50" s="7">
        <v>236</v>
      </c>
    </row>
    <row r="51" spans="3:7" ht="15.6" x14ac:dyDescent="0.3">
      <c r="C51" s="8">
        <v>41879</v>
      </c>
      <c r="D51" s="7" t="s">
        <v>55</v>
      </c>
      <c r="E51" s="7" t="s">
        <v>46</v>
      </c>
      <c r="F51" s="7">
        <v>141543</v>
      </c>
      <c r="G51" s="7">
        <v>380</v>
      </c>
    </row>
    <row r="52" spans="3:7" ht="15.6" x14ac:dyDescent="0.3">
      <c r="C52" s="8">
        <v>41760</v>
      </c>
      <c r="D52" s="7" t="s">
        <v>37</v>
      </c>
      <c r="E52" s="7" t="s">
        <v>47</v>
      </c>
      <c r="F52" s="7">
        <v>306109</v>
      </c>
      <c r="G52" s="7">
        <v>489</v>
      </c>
    </row>
    <row r="53" spans="3:7" ht="15.6" x14ac:dyDescent="0.3">
      <c r="C53" s="8">
        <v>41991</v>
      </c>
      <c r="D53" s="7" t="s">
        <v>39</v>
      </c>
      <c r="E53" s="7" t="s">
        <v>38</v>
      </c>
      <c r="F53" s="7">
        <v>290678</v>
      </c>
      <c r="G53" s="7">
        <v>377</v>
      </c>
    </row>
    <row r="54" spans="3:7" ht="15.6" x14ac:dyDescent="0.3">
      <c r="C54" s="8">
        <v>41076</v>
      </c>
      <c r="D54" s="7" t="s">
        <v>56</v>
      </c>
      <c r="E54" s="7" t="s">
        <v>40</v>
      </c>
      <c r="F54" s="7">
        <v>454340</v>
      </c>
      <c r="G54" s="7">
        <v>289</v>
      </c>
    </row>
    <row r="55" spans="3:7" ht="15.6" x14ac:dyDescent="0.3">
      <c r="C55" s="8">
        <v>41900</v>
      </c>
      <c r="D55" s="7" t="s">
        <v>14</v>
      </c>
      <c r="E55" s="7" t="s">
        <v>42</v>
      </c>
      <c r="F55" s="7">
        <v>348415</v>
      </c>
      <c r="G55" s="7">
        <v>486</v>
      </c>
    </row>
    <row r="56" spans="3:7" ht="15.6" x14ac:dyDescent="0.3">
      <c r="C56" s="8">
        <v>41845</v>
      </c>
      <c r="D56" s="7" t="s">
        <v>44</v>
      </c>
      <c r="E56" s="7" t="s">
        <v>43</v>
      </c>
      <c r="F56" s="7">
        <v>133386</v>
      </c>
      <c r="G56" s="7">
        <v>285</v>
      </c>
    </row>
    <row r="57" spans="3:7" ht="15.6" x14ac:dyDescent="0.3">
      <c r="C57" s="8">
        <v>40894</v>
      </c>
      <c r="D57" s="7" t="s">
        <v>45</v>
      </c>
      <c r="E57" s="7" t="s">
        <v>43</v>
      </c>
      <c r="F57" s="7">
        <v>369529</v>
      </c>
      <c r="G57" s="7">
        <v>329</v>
      </c>
    </row>
    <row r="58" spans="3:7" ht="15.6" x14ac:dyDescent="0.3">
      <c r="C58" s="8">
        <v>41626</v>
      </c>
      <c r="D58" s="7" t="s">
        <v>11</v>
      </c>
      <c r="E58" s="7" t="s">
        <v>46</v>
      </c>
      <c r="F58" s="7">
        <v>389102</v>
      </c>
      <c r="G58" s="7">
        <v>220</v>
      </c>
    </row>
    <row r="59" spans="3:7" ht="15.6" x14ac:dyDescent="0.3">
      <c r="C59" s="8">
        <v>41059</v>
      </c>
      <c r="D59" s="7" t="s">
        <v>41</v>
      </c>
      <c r="E59" s="7" t="s">
        <v>47</v>
      </c>
      <c r="F59" s="7">
        <v>355421</v>
      </c>
      <c r="G59" s="7">
        <v>349</v>
      </c>
    </row>
    <row r="60" spans="3:7" ht="15.6" x14ac:dyDescent="0.3">
      <c r="C60" s="8">
        <v>40987</v>
      </c>
      <c r="D60" s="7" t="s">
        <v>48</v>
      </c>
      <c r="E60" s="7" t="s">
        <v>38</v>
      </c>
      <c r="F60" s="7">
        <v>163980</v>
      </c>
      <c r="G60" s="7">
        <v>297</v>
      </c>
    </row>
    <row r="61" spans="3:7" ht="15.6" x14ac:dyDescent="0.3">
      <c r="C61" s="8">
        <v>41054</v>
      </c>
      <c r="D61" s="7" t="s">
        <v>49</v>
      </c>
      <c r="E61" s="7" t="s">
        <v>40</v>
      </c>
      <c r="F61" s="7">
        <v>349808</v>
      </c>
      <c r="G61" s="7">
        <v>138</v>
      </c>
    </row>
    <row r="62" spans="3:7" ht="15.6" x14ac:dyDescent="0.3">
      <c r="C62" s="8">
        <v>41856</v>
      </c>
      <c r="D62" s="7" t="s">
        <v>50</v>
      </c>
      <c r="E62" s="7" t="s">
        <v>42</v>
      </c>
      <c r="F62" s="7">
        <v>415748</v>
      </c>
      <c r="G62" s="7">
        <v>114</v>
      </c>
    </row>
    <row r="63" spans="3:7" ht="15.6" x14ac:dyDescent="0.3">
      <c r="C63" s="8">
        <v>41875</v>
      </c>
      <c r="D63" s="7" t="s">
        <v>51</v>
      </c>
      <c r="E63" s="7" t="s">
        <v>43</v>
      </c>
      <c r="F63" s="7">
        <v>330624</v>
      </c>
      <c r="G63" s="7">
        <v>100</v>
      </c>
    </row>
    <row r="64" spans="3:7" ht="15.6" x14ac:dyDescent="0.3">
      <c r="C64" s="8">
        <v>41709</v>
      </c>
      <c r="D64" s="7" t="s">
        <v>52</v>
      </c>
      <c r="E64" s="7" t="s">
        <v>43</v>
      </c>
      <c r="F64" s="7">
        <v>245239</v>
      </c>
      <c r="G64" s="7">
        <v>330</v>
      </c>
    </row>
    <row r="65" spans="3:7" ht="15.6" x14ac:dyDescent="0.3">
      <c r="C65" s="8">
        <v>41221</v>
      </c>
      <c r="D65" s="7" t="s">
        <v>53</v>
      </c>
      <c r="E65" s="7" t="s">
        <v>46</v>
      </c>
      <c r="F65" s="7">
        <v>487341</v>
      </c>
      <c r="G65" s="7">
        <v>372</v>
      </c>
    </row>
    <row r="66" spans="3:7" ht="15.6" x14ac:dyDescent="0.3">
      <c r="C66" s="8">
        <v>41862</v>
      </c>
      <c r="D66" s="7" t="s">
        <v>54</v>
      </c>
      <c r="E66" s="7" t="s">
        <v>47</v>
      </c>
      <c r="F66" s="7">
        <v>235628</v>
      </c>
      <c r="G66" s="7">
        <v>460</v>
      </c>
    </row>
    <row r="67" spans="3:7" ht="15.6" x14ac:dyDescent="0.3">
      <c r="C67" s="8">
        <v>41517</v>
      </c>
      <c r="D67" s="7" t="s">
        <v>55</v>
      </c>
      <c r="E67" s="7" t="s">
        <v>38</v>
      </c>
      <c r="F67" s="7">
        <v>474502</v>
      </c>
      <c r="G67" s="7">
        <v>250</v>
      </c>
    </row>
    <row r="68" spans="3:7" ht="15.6" x14ac:dyDescent="0.3">
      <c r="C68" s="8">
        <v>41657</v>
      </c>
      <c r="D68" s="7" t="s">
        <v>37</v>
      </c>
      <c r="E68" s="7" t="s">
        <v>40</v>
      </c>
      <c r="F68" s="7">
        <v>393703</v>
      </c>
      <c r="G68" s="7">
        <v>465</v>
      </c>
    </row>
    <row r="69" spans="3:7" ht="15.6" x14ac:dyDescent="0.3">
      <c r="C69" s="8">
        <v>41610</v>
      </c>
      <c r="D69" s="7" t="s">
        <v>39</v>
      </c>
      <c r="E69" s="7" t="s">
        <v>42</v>
      </c>
      <c r="F69" s="7">
        <v>128520</v>
      </c>
      <c r="G69" s="7">
        <v>489</v>
      </c>
    </row>
    <row r="70" spans="3:7" ht="15.6" x14ac:dyDescent="0.3">
      <c r="C70" s="8">
        <v>41980</v>
      </c>
      <c r="D70" s="7" t="s">
        <v>56</v>
      </c>
      <c r="E70" s="7" t="s">
        <v>43</v>
      </c>
      <c r="F70" s="7">
        <v>200792</v>
      </c>
      <c r="G70" s="7">
        <v>296</v>
      </c>
    </row>
    <row r="71" spans="3:7" ht="15.6" x14ac:dyDescent="0.3">
      <c r="C71" s="8">
        <v>41989</v>
      </c>
      <c r="D71" s="7" t="s">
        <v>14</v>
      </c>
      <c r="E71" s="7" t="s">
        <v>43</v>
      </c>
      <c r="F71" s="7">
        <v>147865</v>
      </c>
      <c r="G71" s="7">
        <v>349</v>
      </c>
    </row>
    <row r="72" spans="3:7" ht="15.6" x14ac:dyDescent="0.3">
      <c r="C72" s="8">
        <v>41963</v>
      </c>
      <c r="D72" s="7" t="s">
        <v>44</v>
      </c>
      <c r="E72" s="7" t="s">
        <v>46</v>
      </c>
      <c r="F72" s="7">
        <v>270671</v>
      </c>
      <c r="G72" s="7">
        <v>178</v>
      </c>
    </row>
    <row r="73" spans="3:7" ht="15.6" x14ac:dyDescent="0.3">
      <c r="C73" s="8">
        <v>40856</v>
      </c>
      <c r="D73" s="7" t="s">
        <v>45</v>
      </c>
      <c r="E73" s="7" t="s">
        <v>47</v>
      </c>
      <c r="F73" s="7">
        <v>440257</v>
      </c>
      <c r="G73" s="7">
        <v>268</v>
      </c>
    </row>
    <row r="74" spans="3:7" ht="15.6" x14ac:dyDescent="0.3">
      <c r="C74" s="8">
        <v>41432</v>
      </c>
      <c r="D74" s="7" t="s">
        <v>11</v>
      </c>
      <c r="E74" s="7" t="s">
        <v>38</v>
      </c>
      <c r="F74" s="7">
        <v>262110</v>
      </c>
      <c r="G74" s="7">
        <v>237</v>
      </c>
    </row>
    <row r="75" spans="3:7" ht="15.6" x14ac:dyDescent="0.3">
      <c r="C75" s="8">
        <v>40869</v>
      </c>
      <c r="D75" s="7" t="s">
        <v>41</v>
      </c>
      <c r="E75" s="7" t="s">
        <v>40</v>
      </c>
      <c r="F75" s="7">
        <v>155482</v>
      </c>
      <c r="G75" s="7">
        <v>145</v>
      </c>
    </row>
    <row r="76" spans="3:7" ht="15.6" x14ac:dyDescent="0.3">
      <c r="C76" s="8">
        <v>41362</v>
      </c>
      <c r="D76" s="7" t="s">
        <v>48</v>
      </c>
      <c r="E76" s="7" t="s">
        <v>42</v>
      </c>
      <c r="F76" s="7">
        <v>146640</v>
      </c>
      <c r="G76" s="7">
        <v>296</v>
      </c>
    </row>
    <row r="77" spans="3:7" ht="15.6" x14ac:dyDescent="0.3">
      <c r="C77" s="8">
        <v>41877</v>
      </c>
      <c r="D77" s="7" t="s">
        <v>49</v>
      </c>
      <c r="E77" s="7" t="s">
        <v>43</v>
      </c>
      <c r="F77" s="7">
        <v>400112</v>
      </c>
      <c r="G77" s="7">
        <v>321</v>
      </c>
    </row>
    <row r="78" spans="3:7" ht="15.6" x14ac:dyDescent="0.3">
      <c r="C78" s="8">
        <v>41172</v>
      </c>
      <c r="D78" s="7" t="s">
        <v>50</v>
      </c>
      <c r="E78" s="7" t="s">
        <v>43</v>
      </c>
      <c r="F78" s="7">
        <v>129923</v>
      </c>
      <c r="G78" s="7">
        <v>366</v>
      </c>
    </row>
    <row r="79" spans="3:7" ht="15.6" x14ac:dyDescent="0.3">
      <c r="C79" s="8">
        <v>41775</v>
      </c>
      <c r="D79" s="7" t="s">
        <v>51</v>
      </c>
      <c r="E79" s="7" t="s">
        <v>46</v>
      </c>
      <c r="F79" s="7">
        <v>357675</v>
      </c>
      <c r="G79" s="7">
        <v>432</v>
      </c>
    </row>
    <row r="80" spans="3:7" ht="15.6" x14ac:dyDescent="0.3">
      <c r="C80" s="8">
        <v>40984</v>
      </c>
      <c r="D80" s="7" t="s">
        <v>52</v>
      </c>
      <c r="E80" s="7" t="s">
        <v>47</v>
      </c>
      <c r="F80" s="7">
        <v>362059</v>
      </c>
      <c r="G80" s="7">
        <v>486</v>
      </c>
    </row>
    <row r="81" spans="3:7" ht="15.6" x14ac:dyDescent="0.3">
      <c r="C81" s="8">
        <v>41602</v>
      </c>
      <c r="D81" s="7" t="s">
        <v>53</v>
      </c>
      <c r="E81" s="7" t="s">
        <v>38</v>
      </c>
      <c r="F81" s="7">
        <v>264232</v>
      </c>
      <c r="G81" s="7">
        <v>290</v>
      </c>
    </row>
    <row r="82" spans="3:7" ht="15.6" x14ac:dyDescent="0.3">
      <c r="C82" s="8">
        <v>40856</v>
      </c>
      <c r="D82" s="7" t="s">
        <v>54</v>
      </c>
      <c r="E82" s="7" t="s">
        <v>40</v>
      </c>
      <c r="F82" s="7">
        <v>161483</v>
      </c>
      <c r="G82" s="7">
        <v>345</v>
      </c>
    </row>
    <row r="83" spans="3:7" ht="15.6" x14ac:dyDescent="0.3">
      <c r="C83" s="8">
        <v>40844</v>
      </c>
      <c r="D83" s="7" t="s">
        <v>55</v>
      </c>
      <c r="E83" s="7" t="s">
        <v>42</v>
      </c>
      <c r="F83" s="7">
        <v>104558</v>
      </c>
      <c r="G83" s="7">
        <v>354</v>
      </c>
    </row>
    <row r="84" spans="3:7" ht="15.6" x14ac:dyDescent="0.3">
      <c r="C84" s="8">
        <v>41962</v>
      </c>
      <c r="D84" s="7" t="s">
        <v>37</v>
      </c>
      <c r="E84" s="7" t="s">
        <v>43</v>
      </c>
      <c r="F84" s="7">
        <v>479383</v>
      </c>
      <c r="G84" s="7">
        <v>198</v>
      </c>
    </row>
    <row r="85" spans="3:7" ht="15.6" x14ac:dyDescent="0.3">
      <c r="C85" s="8">
        <v>41940</v>
      </c>
      <c r="D85" s="7" t="s">
        <v>39</v>
      </c>
      <c r="E85" s="7" t="s">
        <v>43</v>
      </c>
      <c r="F85" s="7">
        <v>433335</v>
      </c>
      <c r="G85" s="7">
        <v>370</v>
      </c>
    </row>
    <row r="86" spans="3:7" ht="15.6" x14ac:dyDescent="0.3">
      <c r="C86" s="8">
        <v>41656</v>
      </c>
      <c r="D86" s="7" t="s">
        <v>56</v>
      </c>
      <c r="E86" s="7" t="s">
        <v>46</v>
      </c>
      <c r="F86" s="7">
        <v>398180</v>
      </c>
      <c r="G86" s="7">
        <v>181</v>
      </c>
    </row>
    <row r="87" spans="3:7" ht="15.6" x14ac:dyDescent="0.3">
      <c r="C87" s="8">
        <v>41869</v>
      </c>
      <c r="D87" s="7" t="s">
        <v>14</v>
      </c>
      <c r="E87" s="7" t="s">
        <v>47</v>
      </c>
      <c r="F87" s="7">
        <v>137481</v>
      </c>
      <c r="G87" s="7">
        <v>384</v>
      </c>
    </row>
    <row r="88" spans="3:7" ht="15.6" x14ac:dyDescent="0.3">
      <c r="C88" s="8">
        <v>41303</v>
      </c>
      <c r="D88" s="7" t="s">
        <v>44</v>
      </c>
      <c r="E88" s="7" t="s">
        <v>38</v>
      </c>
      <c r="F88" s="7">
        <v>169751</v>
      </c>
      <c r="G88" s="7">
        <v>189</v>
      </c>
    </row>
    <row r="89" spans="3:7" ht="15.6" x14ac:dyDescent="0.3">
      <c r="C89" s="8">
        <v>41170</v>
      </c>
      <c r="D89" s="7" t="s">
        <v>45</v>
      </c>
      <c r="E89" s="7" t="s">
        <v>40</v>
      </c>
      <c r="F89" s="7">
        <v>391833</v>
      </c>
      <c r="G89" s="7">
        <v>213</v>
      </c>
    </row>
    <row r="90" spans="3:7" ht="15.6" x14ac:dyDescent="0.3">
      <c r="C90" s="8">
        <v>41601</v>
      </c>
      <c r="D90" s="7" t="s">
        <v>11</v>
      </c>
      <c r="E90" s="7" t="s">
        <v>42</v>
      </c>
      <c r="F90" s="7">
        <v>499820</v>
      </c>
      <c r="G90" s="7">
        <v>261</v>
      </c>
    </row>
    <row r="91" spans="3:7" ht="15.6" x14ac:dyDescent="0.3">
      <c r="C91" s="8">
        <v>41073</v>
      </c>
      <c r="D91" s="7" t="s">
        <v>41</v>
      </c>
      <c r="E91" s="7" t="s">
        <v>43</v>
      </c>
      <c r="F91" s="7">
        <v>150150</v>
      </c>
      <c r="G91" s="7">
        <v>477</v>
      </c>
    </row>
    <row r="92" spans="3:7" ht="15.6" x14ac:dyDescent="0.3">
      <c r="C92" s="8">
        <v>41575</v>
      </c>
      <c r="D92" s="7" t="s">
        <v>48</v>
      </c>
      <c r="E92" s="7" t="s">
        <v>43</v>
      </c>
      <c r="F92" s="7">
        <v>496334</v>
      </c>
      <c r="G92" s="7">
        <v>181</v>
      </c>
    </row>
    <row r="93" spans="3:7" ht="15.6" x14ac:dyDescent="0.3">
      <c r="C93" s="8">
        <v>41620</v>
      </c>
      <c r="D93" s="7" t="s">
        <v>49</v>
      </c>
      <c r="E93" s="7" t="s">
        <v>46</v>
      </c>
      <c r="F93" s="7">
        <v>352914</v>
      </c>
      <c r="G93" s="7">
        <v>428</v>
      </c>
    </row>
    <row r="94" spans="3:7" ht="15.6" x14ac:dyDescent="0.3">
      <c r="C94" s="8">
        <v>41054</v>
      </c>
      <c r="D94" s="7" t="s">
        <v>50</v>
      </c>
      <c r="E94" s="7" t="s">
        <v>47</v>
      </c>
      <c r="F94" s="7">
        <v>158470</v>
      </c>
      <c r="G94" s="7">
        <v>275</v>
      </c>
    </row>
    <row r="95" spans="3:7" ht="15.6" x14ac:dyDescent="0.3">
      <c r="C95" s="8">
        <v>41400</v>
      </c>
      <c r="D95" s="7" t="s">
        <v>51</v>
      </c>
      <c r="E95" s="7" t="s">
        <v>38</v>
      </c>
      <c r="F95" s="7">
        <v>250100</v>
      </c>
      <c r="G95" s="7">
        <v>212</v>
      </c>
    </row>
    <row r="96" spans="3:7" ht="15.6" x14ac:dyDescent="0.3">
      <c r="C96" s="8">
        <v>41610</v>
      </c>
      <c r="D96" s="7" t="s">
        <v>52</v>
      </c>
      <c r="E96" s="7" t="s">
        <v>40</v>
      </c>
      <c r="F96" s="7">
        <v>130882</v>
      </c>
      <c r="G96" s="7">
        <v>416</v>
      </c>
    </row>
    <row r="97" spans="3:7" ht="15.6" x14ac:dyDescent="0.3">
      <c r="C97" s="8">
        <v>41996</v>
      </c>
      <c r="D97" s="7" t="s">
        <v>53</v>
      </c>
      <c r="E97" s="7" t="s">
        <v>42</v>
      </c>
      <c r="F97" s="7">
        <v>450084</v>
      </c>
      <c r="G97" s="7">
        <v>230</v>
      </c>
    </row>
    <row r="98" spans="3:7" ht="15.6" x14ac:dyDescent="0.3">
      <c r="C98" s="8">
        <v>41302</v>
      </c>
      <c r="D98" s="7" t="s">
        <v>54</v>
      </c>
      <c r="E98" s="7" t="s">
        <v>43</v>
      </c>
      <c r="F98" s="7">
        <v>377734</v>
      </c>
      <c r="G98" s="7">
        <v>339</v>
      </c>
    </row>
    <row r="99" spans="3:7" ht="15.6" x14ac:dyDescent="0.3">
      <c r="C99" s="8">
        <v>41036</v>
      </c>
      <c r="D99" s="7" t="s">
        <v>55</v>
      </c>
      <c r="E99" s="7" t="s">
        <v>43</v>
      </c>
      <c r="F99" s="7">
        <v>167380</v>
      </c>
      <c r="G99" s="7">
        <v>105</v>
      </c>
    </row>
    <row r="100" spans="3:7" ht="15.6" x14ac:dyDescent="0.3">
      <c r="C100" s="8">
        <v>41605</v>
      </c>
      <c r="D100" s="7" t="s">
        <v>37</v>
      </c>
      <c r="E100" s="7" t="s">
        <v>46</v>
      </c>
      <c r="F100" s="7">
        <v>438072</v>
      </c>
      <c r="G100" s="7">
        <v>378</v>
      </c>
    </row>
    <row r="101" spans="3:7" ht="15.6" x14ac:dyDescent="0.3">
      <c r="C101" s="8">
        <v>41241</v>
      </c>
      <c r="D101" s="7" t="s">
        <v>39</v>
      </c>
      <c r="E101" s="7" t="s">
        <v>47</v>
      </c>
      <c r="F101" s="7">
        <v>258185</v>
      </c>
      <c r="G101" s="7">
        <v>106</v>
      </c>
    </row>
    <row r="102" spans="3:7" ht="15.6" x14ac:dyDescent="0.3">
      <c r="C102" s="8">
        <v>41181</v>
      </c>
      <c r="D102" s="7" t="s">
        <v>56</v>
      </c>
      <c r="E102" s="7" t="s">
        <v>38</v>
      </c>
      <c r="F102" s="7">
        <v>398090</v>
      </c>
      <c r="G102" s="7">
        <v>302</v>
      </c>
    </row>
    <row r="103" spans="3:7" ht="15.6" x14ac:dyDescent="0.3">
      <c r="C103" s="8">
        <v>41520</v>
      </c>
      <c r="D103" s="7" t="s">
        <v>14</v>
      </c>
      <c r="E103" s="7" t="s">
        <v>40</v>
      </c>
      <c r="F103" s="7">
        <v>464016</v>
      </c>
      <c r="G103" s="7">
        <v>105</v>
      </c>
    </row>
    <row r="104" spans="3:7" ht="15.6" x14ac:dyDescent="0.3">
      <c r="C104" s="8">
        <v>41481</v>
      </c>
      <c r="D104" s="7" t="s">
        <v>44</v>
      </c>
      <c r="E104" s="7" t="s">
        <v>42</v>
      </c>
      <c r="F104" s="7">
        <v>125173</v>
      </c>
      <c r="G104" s="7">
        <v>376</v>
      </c>
    </row>
    <row r="105" spans="3:7" ht="15.6" x14ac:dyDescent="0.3">
      <c r="C105" s="8">
        <v>41962</v>
      </c>
      <c r="D105" s="7" t="s">
        <v>45</v>
      </c>
      <c r="E105" s="7" t="s">
        <v>43</v>
      </c>
      <c r="F105" s="7">
        <v>497185</v>
      </c>
      <c r="G105" s="7">
        <v>240</v>
      </c>
    </row>
    <row r="106" spans="3:7" ht="15.6" x14ac:dyDescent="0.3">
      <c r="C106" s="8">
        <v>41079</v>
      </c>
      <c r="D106" s="7" t="s">
        <v>11</v>
      </c>
      <c r="E106" s="7" t="s">
        <v>43</v>
      </c>
      <c r="F106" s="7">
        <v>264923</v>
      </c>
      <c r="G106" s="7">
        <v>238</v>
      </c>
    </row>
    <row r="107" spans="3:7" ht="15.6" x14ac:dyDescent="0.3">
      <c r="C107" s="8">
        <v>41193</v>
      </c>
      <c r="D107" s="7" t="s">
        <v>41</v>
      </c>
      <c r="E107" s="7" t="s">
        <v>46</v>
      </c>
      <c r="F107" s="7">
        <v>481602</v>
      </c>
      <c r="G107" s="7">
        <v>368</v>
      </c>
    </row>
    <row r="108" spans="3:7" ht="15.6" x14ac:dyDescent="0.3">
      <c r="C108" s="8">
        <v>40764</v>
      </c>
      <c r="D108" s="7" t="s">
        <v>48</v>
      </c>
      <c r="E108" s="7" t="s">
        <v>47</v>
      </c>
      <c r="F108" s="7">
        <v>476826</v>
      </c>
      <c r="G108" s="7">
        <v>368</v>
      </c>
    </row>
    <row r="109" spans="3:7" ht="15.6" x14ac:dyDescent="0.3">
      <c r="C109" s="8">
        <v>40852</v>
      </c>
      <c r="D109" s="7" t="s">
        <v>49</v>
      </c>
      <c r="E109" s="7" t="s">
        <v>38</v>
      </c>
      <c r="F109" s="7">
        <v>305628</v>
      </c>
      <c r="G109" s="7">
        <v>257</v>
      </c>
    </row>
    <row r="110" spans="3:7" ht="15.6" x14ac:dyDescent="0.3">
      <c r="C110" s="8">
        <v>41950</v>
      </c>
      <c r="D110" s="7" t="s">
        <v>50</v>
      </c>
      <c r="E110" s="7" t="s">
        <v>40</v>
      </c>
      <c r="F110" s="7">
        <v>283796</v>
      </c>
      <c r="G110" s="7">
        <v>122</v>
      </c>
    </row>
    <row r="111" spans="3:7" ht="15.6" x14ac:dyDescent="0.3">
      <c r="C111" s="8">
        <v>41390</v>
      </c>
      <c r="D111" s="7" t="s">
        <v>51</v>
      </c>
      <c r="E111" s="7" t="s">
        <v>42</v>
      </c>
      <c r="F111" s="7">
        <v>371060</v>
      </c>
      <c r="G111" s="7">
        <v>477</v>
      </c>
    </row>
    <row r="112" spans="3:7" ht="15.6" x14ac:dyDescent="0.3">
      <c r="C112" s="8">
        <v>41634</v>
      </c>
      <c r="D112" s="7" t="s">
        <v>52</v>
      </c>
      <c r="E112" s="7" t="s">
        <v>43</v>
      </c>
      <c r="F112" s="7">
        <v>245115</v>
      </c>
      <c r="G112" s="7">
        <v>190</v>
      </c>
    </row>
    <row r="113" spans="3:7" ht="15.6" x14ac:dyDescent="0.3">
      <c r="C113" s="8">
        <v>41346</v>
      </c>
      <c r="D113" s="7" t="s">
        <v>53</v>
      </c>
      <c r="E113" s="7" t="s">
        <v>43</v>
      </c>
      <c r="F113" s="7">
        <v>319316</v>
      </c>
      <c r="G113" s="7">
        <v>159</v>
      </c>
    </row>
    <row r="114" spans="3:7" ht="15.6" x14ac:dyDescent="0.3">
      <c r="C114" s="8">
        <v>41381</v>
      </c>
      <c r="D114" s="7" t="s">
        <v>54</v>
      </c>
      <c r="E114" s="7" t="s">
        <v>46</v>
      </c>
      <c r="F114" s="7">
        <v>462989</v>
      </c>
      <c r="G114" s="7">
        <v>478</v>
      </c>
    </row>
    <row r="115" spans="3:7" ht="15.6" x14ac:dyDescent="0.3">
      <c r="C115" s="8">
        <v>41004</v>
      </c>
      <c r="D115" s="7" t="s">
        <v>55</v>
      </c>
      <c r="E115" s="7" t="s">
        <v>47</v>
      </c>
      <c r="F115" s="7">
        <v>163846</v>
      </c>
      <c r="G115" s="7">
        <v>292</v>
      </c>
    </row>
    <row r="116" spans="3:7" ht="15.6" x14ac:dyDescent="0.3">
      <c r="C116" s="8">
        <v>41269</v>
      </c>
      <c r="D116" s="7" t="s">
        <v>37</v>
      </c>
      <c r="E116" s="7" t="s">
        <v>38</v>
      </c>
      <c r="F116" s="7">
        <v>464770</v>
      </c>
      <c r="G116" s="7">
        <v>488</v>
      </c>
    </row>
    <row r="117" spans="3:7" ht="15.6" x14ac:dyDescent="0.3">
      <c r="C117" s="8">
        <v>41382</v>
      </c>
      <c r="D117" s="7" t="s">
        <v>39</v>
      </c>
      <c r="E117" s="7" t="s">
        <v>40</v>
      </c>
      <c r="F117" s="7">
        <v>491037</v>
      </c>
      <c r="G117" s="7">
        <v>455</v>
      </c>
    </row>
    <row r="118" spans="3:7" ht="15.6" x14ac:dyDescent="0.3">
      <c r="C118" s="8">
        <v>40687</v>
      </c>
      <c r="D118" s="7" t="s">
        <v>56</v>
      </c>
      <c r="E118" s="7" t="s">
        <v>42</v>
      </c>
      <c r="F118" s="7">
        <v>446005</v>
      </c>
      <c r="G118" s="7">
        <v>468</v>
      </c>
    </row>
    <row r="119" spans="3:7" ht="15.6" x14ac:dyDescent="0.3">
      <c r="C119" s="8">
        <v>41051</v>
      </c>
      <c r="D119" s="7" t="s">
        <v>14</v>
      </c>
      <c r="E119" s="7" t="s">
        <v>43</v>
      </c>
      <c r="F119" s="7">
        <v>159600</v>
      </c>
      <c r="G119" s="7">
        <v>265</v>
      </c>
    </row>
    <row r="120" spans="3:7" ht="15.6" x14ac:dyDescent="0.3">
      <c r="C120" s="8">
        <v>41410</v>
      </c>
      <c r="D120" s="7" t="s">
        <v>44</v>
      </c>
      <c r="E120" s="7" t="s">
        <v>43</v>
      </c>
      <c r="F120" s="7">
        <v>112161</v>
      </c>
      <c r="G120" s="7">
        <v>264</v>
      </c>
    </row>
    <row r="121" spans="3:7" ht="15.6" x14ac:dyDescent="0.3">
      <c r="C121" s="8">
        <v>40883</v>
      </c>
      <c r="D121" s="7" t="s">
        <v>45</v>
      </c>
      <c r="E121" s="7" t="s">
        <v>46</v>
      </c>
      <c r="F121" s="7">
        <v>292949</v>
      </c>
      <c r="G121" s="7">
        <v>122</v>
      </c>
    </row>
    <row r="122" spans="3:7" ht="15.6" x14ac:dyDescent="0.3">
      <c r="C122" s="8">
        <v>40590</v>
      </c>
      <c r="D122" s="7" t="s">
        <v>11</v>
      </c>
      <c r="E122" s="7" t="s">
        <v>47</v>
      </c>
      <c r="F122" s="7">
        <v>322400</v>
      </c>
      <c r="G122" s="7">
        <v>337</v>
      </c>
    </row>
    <row r="123" spans="3:7" ht="15.6" x14ac:dyDescent="0.3">
      <c r="C123" s="8">
        <v>41425</v>
      </c>
      <c r="D123" s="7" t="s">
        <v>41</v>
      </c>
      <c r="E123" s="7" t="s">
        <v>38</v>
      </c>
      <c r="F123" s="7">
        <v>244315</v>
      </c>
      <c r="G123" s="7">
        <v>492</v>
      </c>
    </row>
    <row r="124" spans="3:7" ht="15.6" x14ac:dyDescent="0.3">
      <c r="C124" s="8">
        <v>41548</v>
      </c>
      <c r="D124" s="7" t="s">
        <v>48</v>
      </c>
      <c r="E124" s="7" t="s">
        <v>40</v>
      </c>
      <c r="F124" s="7">
        <v>476029</v>
      </c>
      <c r="G124" s="7">
        <v>441</v>
      </c>
    </row>
    <row r="125" spans="3:7" ht="15.6" x14ac:dyDescent="0.3">
      <c r="C125" s="8">
        <v>40891</v>
      </c>
      <c r="D125" s="7" t="s">
        <v>49</v>
      </c>
      <c r="E125" s="7" t="s">
        <v>42</v>
      </c>
      <c r="F125" s="7">
        <v>345421</v>
      </c>
      <c r="G125" s="7">
        <v>299</v>
      </c>
    </row>
    <row r="126" spans="3:7" ht="15.6" x14ac:dyDescent="0.3">
      <c r="C126" s="8">
        <v>41626</v>
      </c>
      <c r="D126" s="7" t="s">
        <v>50</v>
      </c>
      <c r="E126" s="7" t="s">
        <v>43</v>
      </c>
      <c r="F126" s="7">
        <v>140907</v>
      </c>
      <c r="G126" s="7">
        <v>443</v>
      </c>
    </row>
    <row r="127" spans="3:7" ht="15.6" x14ac:dyDescent="0.3">
      <c r="C127" s="8">
        <v>41619</v>
      </c>
      <c r="D127" s="7" t="s">
        <v>51</v>
      </c>
      <c r="E127" s="7" t="s">
        <v>43</v>
      </c>
      <c r="F127" s="7">
        <v>166069</v>
      </c>
      <c r="G127" s="7">
        <v>351</v>
      </c>
    </row>
    <row r="128" spans="3:7" ht="15.6" x14ac:dyDescent="0.3">
      <c r="C128" s="8">
        <v>41716</v>
      </c>
      <c r="D128" s="7" t="s">
        <v>52</v>
      </c>
      <c r="E128" s="7" t="s">
        <v>46</v>
      </c>
      <c r="F128" s="7">
        <v>136882</v>
      </c>
      <c r="G128" s="7">
        <v>312</v>
      </c>
    </row>
    <row r="129" spans="3:7" ht="15.6" x14ac:dyDescent="0.3">
      <c r="C129" s="8">
        <v>41992</v>
      </c>
      <c r="D129" s="7" t="s">
        <v>53</v>
      </c>
      <c r="E129" s="7" t="s">
        <v>47</v>
      </c>
      <c r="F129" s="7">
        <v>188093</v>
      </c>
      <c r="G129" s="7">
        <v>286</v>
      </c>
    </row>
    <row r="130" spans="3:7" ht="15.6" x14ac:dyDescent="0.3">
      <c r="C130" s="8">
        <v>40897</v>
      </c>
      <c r="D130" s="7" t="s">
        <v>54</v>
      </c>
      <c r="E130" s="7" t="s">
        <v>38</v>
      </c>
      <c r="F130" s="7">
        <v>223403</v>
      </c>
      <c r="G130" s="7">
        <v>407</v>
      </c>
    </row>
    <row r="131" spans="3:7" ht="15.6" x14ac:dyDescent="0.3">
      <c r="C131" s="8">
        <v>41418</v>
      </c>
      <c r="D131" s="7" t="s">
        <v>55</v>
      </c>
      <c r="E131" s="7" t="s">
        <v>40</v>
      </c>
      <c r="F131" s="7">
        <v>110865</v>
      </c>
      <c r="G131" s="7">
        <v>437</v>
      </c>
    </row>
    <row r="132" spans="3:7" ht="15.6" x14ac:dyDescent="0.3">
      <c r="C132" s="8">
        <v>40830</v>
      </c>
      <c r="D132" s="7" t="s">
        <v>37</v>
      </c>
      <c r="E132" s="7" t="s">
        <v>42</v>
      </c>
      <c r="F132" s="7">
        <v>426975</v>
      </c>
      <c r="G132" s="7">
        <v>109</v>
      </c>
    </row>
    <row r="133" spans="3:7" ht="15.6" x14ac:dyDescent="0.3">
      <c r="C133" s="8">
        <v>41900</v>
      </c>
      <c r="D133" s="7" t="s">
        <v>39</v>
      </c>
      <c r="E133" s="7" t="s">
        <v>43</v>
      </c>
      <c r="F133" s="7">
        <v>292346</v>
      </c>
      <c r="G133" s="7">
        <v>312</v>
      </c>
    </row>
    <row r="134" spans="3:7" ht="15.6" x14ac:dyDescent="0.3">
      <c r="C134" s="8">
        <v>41603</v>
      </c>
      <c r="D134" s="7" t="s">
        <v>56</v>
      </c>
      <c r="E134" s="7" t="s">
        <v>43</v>
      </c>
      <c r="F134" s="7">
        <v>169512</v>
      </c>
      <c r="G134" s="7">
        <v>286</v>
      </c>
    </row>
    <row r="135" spans="3:7" ht="15.6" x14ac:dyDescent="0.3">
      <c r="C135" s="8">
        <v>41585</v>
      </c>
      <c r="D135" s="7" t="s">
        <v>14</v>
      </c>
      <c r="E135" s="7" t="s">
        <v>46</v>
      </c>
      <c r="F135" s="7">
        <v>126385</v>
      </c>
      <c r="G135" s="7">
        <v>162</v>
      </c>
    </row>
    <row r="136" spans="3:7" ht="15.6" x14ac:dyDescent="0.3">
      <c r="C136" s="8">
        <v>41839</v>
      </c>
      <c r="D136" s="7" t="s">
        <v>44</v>
      </c>
      <c r="E136" s="7" t="s">
        <v>47</v>
      </c>
      <c r="F136" s="7">
        <v>200654</v>
      </c>
      <c r="G136" s="7">
        <v>448</v>
      </c>
    </row>
    <row r="137" spans="3:7" ht="15.6" x14ac:dyDescent="0.3">
      <c r="C137" s="8">
        <v>41137</v>
      </c>
      <c r="D137" s="7" t="s">
        <v>45</v>
      </c>
      <c r="E137" s="7" t="s">
        <v>38</v>
      </c>
      <c r="F137" s="7">
        <v>130685</v>
      </c>
      <c r="G137" s="7">
        <v>336</v>
      </c>
    </row>
    <row r="138" spans="3:7" ht="15.6" x14ac:dyDescent="0.3">
      <c r="C138" s="8">
        <v>41513</v>
      </c>
      <c r="D138" s="7" t="s">
        <v>11</v>
      </c>
      <c r="E138" s="7" t="s">
        <v>40</v>
      </c>
      <c r="F138" s="7">
        <v>482125</v>
      </c>
      <c r="G138" s="7">
        <v>426</v>
      </c>
    </row>
    <row r="139" spans="3:7" ht="15.6" x14ac:dyDescent="0.3">
      <c r="C139" s="8">
        <v>40919</v>
      </c>
      <c r="D139" s="7" t="s">
        <v>41</v>
      </c>
      <c r="E139" s="7" t="s">
        <v>42</v>
      </c>
      <c r="F139" s="7">
        <v>393585</v>
      </c>
      <c r="G139" s="7">
        <v>321</v>
      </c>
    </row>
    <row r="140" spans="3:7" ht="15.6" x14ac:dyDescent="0.3">
      <c r="C140" s="8">
        <v>41302</v>
      </c>
      <c r="D140" s="7" t="s">
        <v>48</v>
      </c>
      <c r="E140" s="7" t="s">
        <v>43</v>
      </c>
      <c r="F140" s="7">
        <v>254301</v>
      </c>
      <c r="G140" s="7">
        <v>152</v>
      </c>
    </row>
    <row r="141" spans="3:7" ht="15.6" x14ac:dyDescent="0.3">
      <c r="C141" s="8">
        <v>41074</v>
      </c>
      <c r="D141" s="7" t="s">
        <v>49</v>
      </c>
      <c r="E141" s="7" t="s">
        <v>43</v>
      </c>
      <c r="F141" s="7">
        <v>370295</v>
      </c>
      <c r="G141" s="7">
        <v>133</v>
      </c>
    </row>
    <row r="142" spans="3:7" ht="15.6" x14ac:dyDescent="0.3">
      <c r="C142" s="8">
        <v>40878</v>
      </c>
      <c r="D142" s="7" t="s">
        <v>50</v>
      </c>
      <c r="E142" s="7" t="s">
        <v>46</v>
      </c>
      <c r="F142" s="7">
        <v>264034</v>
      </c>
      <c r="G142" s="7">
        <v>233</v>
      </c>
    </row>
    <row r="143" spans="3:7" ht="15.6" x14ac:dyDescent="0.3">
      <c r="C143" s="8">
        <v>41450</v>
      </c>
      <c r="D143" s="7" t="s">
        <v>51</v>
      </c>
      <c r="E143" s="7" t="s">
        <v>47</v>
      </c>
      <c r="F143" s="7">
        <v>425818</v>
      </c>
      <c r="G143" s="7">
        <v>115</v>
      </c>
    </row>
    <row r="144" spans="3:7" ht="15.6" x14ac:dyDescent="0.3">
      <c r="C144" s="8">
        <v>41249</v>
      </c>
      <c r="D144" s="7" t="s">
        <v>52</v>
      </c>
      <c r="E144" s="7" t="s">
        <v>38</v>
      </c>
      <c r="F144" s="7">
        <v>150193</v>
      </c>
      <c r="G144" s="7">
        <v>401</v>
      </c>
    </row>
    <row r="145" spans="3:7" ht="15.6" x14ac:dyDescent="0.3">
      <c r="C145" s="8">
        <v>41522</v>
      </c>
      <c r="D145" s="7" t="s">
        <v>53</v>
      </c>
      <c r="E145" s="7" t="s">
        <v>40</v>
      </c>
      <c r="F145" s="7">
        <v>143870</v>
      </c>
      <c r="G145" s="7">
        <v>128</v>
      </c>
    </row>
    <row r="146" spans="3:7" ht="15.6" x14ac:dyDescent="0.3">
      <c r="C146" s="8">
        <v>41900</v>
      </c>
      <c r="D146" s="7" t="s">
        <v>54</v>
      </c>
      <c r="E146" s="7" t="s">
        <v>42</v>
      </c>
      <c r="F146" s="7">
        <v>170970</v>
      </c>
      <c r="G146" s="7">
        <v>403</v>
      </c>
    </row>
    <row r="147" spans="3:7" ht="15.6" x14ac:dyDescent="0.3">
      <c r="C147" s="8">
        <v>41894</v>
      </c>
      <c r="D147" s="7" t="s">
        <v>55</v>
      </c>
      <c r="E147" s="7" t="s">
        <v>43</v>
      </c>
      <c r="F147" s="7">
        <v>359358</v>
      </c>
      <c r="G147" s="7">
        <v>203</v>
      </c>
    </row>
    <row r="148" spans="3:7" ht="15.6" x14ac:dyDescent="0.3">
      <c r="C148" s="8">
        <v>41124</v>
      </c>
      <c r="D148" s="7" t="s">
        <v>37</v>
      </c>
      <c r="E148" s="7" t="s">
        <v>43</v>
      </c>
      <c r="F148" s="7">
        <v>318475</v>
      </c>
      <c r="G148" s="7">
        <v>334</v>
      </c>
    </row>
    <row r="149" spans="3:7" ht="15.6" x14ac:dyDescent="0.3">
      <c r="C149" s="8">
        <v>41982</v>
      </c>
      <c r="D149" s="7" t="s">
        <v>39</v>
      </c>
      <c r="E149" s="7" t="s">
        <v>46</v>
      </c>
      <c r="F149" s="7">
        <v>291827</v>
      </c>
      <c r="G149" s="7">
        <v>438</v>
      </c>
    </row>
    <row r="150" spans="3:7" ht="15.6" x14ac:dyDescent="0.3">
      <c r="C150" s="8">
        <v>41207</v>
      </c>
      <c r="D150" s="7" t="s">
        <v>56</v>
      </c>
      <c r="E150" s="7" t="s">
        <v>47</v>
      </c>
      <c r="F150" s="7">
        <v>117470</v>
      </c>
      <c r="G150" s="7">
        <v>249</v>
      </c>
    </row>
    <row r="151" spans="3:7" ht="15.6" x14ac:dyDescent="0.3">
      <c r="C151" s="8">
        <v>41103</v>
      </c>
      <c r="D151" s="7" t="s">
        <v>14</v>
      </c>
      <c r="E151" s="7" t="s">
        <v>38</v>
      </c>
      <c r="F151" s="7">
        <v>475623</v>
      </c>
      <c r="G151" s="7">
        <v>209</v>
      </c>
    </row>
    <row r="152" spans="3:7" ht="15.6" x14ac:dyDescent="0.3">
      <c r="C152" s="8">
        <v>41513</v>
      </c>
      <c r="D152" s="7" t="s">
        <v>44</v>
      </c>
      <c r="E152" s="7" t="s">
        <v>40</v>
      </c>
      <c r="F152" s="7">
        <v>287714</v>
      </c>
      <c r="G152" s="7">
        <v>178</v>
      </c>
    </row>
    <row r="153" spans="3:7" ht="15.6" x14ac:dyDescent="0.3">
      <c r="C153" s="8">
        <v>40676</v>
      </c>
      <c r="D153" s="7" t="s">
        <v>45</v>
      </c>
      <c r="E153" s="7" t="s">
        <v>42</v>
      </c>
      <c r="F153" s="7">
        <v>410242</v>
      </c>
      <c r="G153" s="7">
        <v>376</v>
      </c>
    </row>
    <row r="154" spans="3:7" ht="15.6" x14ac:dyDescent="0.3">
      <c r="C154" s="8">
        <v>40850</v>
      </c>
      <c r="D154" s="7" t="s">
        <v>11</v>
      </c>
      <c r="E154" s="7" t="s">
        <v>43</v>
      </c>
      <c r="F154" s="7">
        <v>257929</v>
      </c>
      <c r="G154" s="7">
        <v>112</v>
      </c>
    </row>
    <row r="155" spans="3:7" ht="15.6" x14ac:dyDescent="0.3">
      <c r="C155" s="8">
        <v>41853</v>
      </c>
      <c r="D155" s="7" t="s">
        <v>41</v>
      </c>
      <c r="E155" s="7" t="s">
        <v>43</v>
      </c>
      <c r="F155" s="7">
        <v>464257</v>
      </c>
      <c r="G155" s="7">
        <v>356</v>
      </c>
    </row>
    <row r="156" spans="3:7" ht="15.6" x14ac:dyDescent="0.3">
      <c r="C156" s="8">
        <v>40806</v>
      </c>
      <c r="D156" s="7" t="s">
        <v>48</v>
      </c>
      <c r="E156" s="7" t="s">
        <v>46</v>
      </c>
      <c r="F156" s="7">
        <v>326537</v>
      </c>
      <c r="G156" s="7">
        <v>348</v>
      </c>
    </row>
    <row r="157" spans="3:7" ht="15.6" x14ac:dyDescent="0.3">
      <c r="C157" s="8">
        <v>41647</v>
      </c>
      <c r="D157" s="7" t="s">
        <v>49</v>
      </c>
      <c r="E157" s="7" t="s">
        <v>47</v>
      </c>
      <c r="F157" s="7">
        <v>263356</v>
      </c>
      <c r="G157" s="7">
        <v>168</v>
      </c>
    </row>
    <row r="158" spans="3:7" ht="15.6" x14ac:dyDescent="0.3">
      <c r="C158" s="8">
        <v>41344</v>
      </c>
      <c r="D158" s="7" t="s">
        <v>50</v>
      </c>
      <c r="E158" s="7" t="s">
        <v>38</v>
      </c>
      <c r="F158" s="7">
        <v>283059</v>
      </c>
      <c r="G158" s="7">
        <v>442</v>
      </c>
    </row>
    <row r="159" spans="3:7" ht="15.6" x14ac:dyDescent="0.3">
      <c r="C159" s="8">
        <v>40941</v>
      </c>
      <c r="D159" s="7" t="s">
        <v>51</v>
      </c>
      <c r="E159" s="7" t="s">
        <v>40</v>
      </c>
      <c r="F159" s="7">
        <v>174449</v>
      </c>
      <c r="G159" s="7">
        <v>201</v>
      </c>
    </row>
    <row r="160" spans="3:7" ht="15.6" x14ac:dyDescent="0.3">
      <c r="C160" s="8">
        <v>41526</v>
      </c>
      <c r="D160" s="7" t="s">
        <v>52</v>
      </c>
      <c r="E160" s="7" t="s">
        <v>42</v>
      </c>
      <c r="F160" s="7">
        <v>297114</v>
      </c>
      <c r="G160" s="7">
        <v>388</v>
      </c>
    </row>
    <row r="161" spans="3:7" ht="15.6" x14ac:dyDescent="0.3">
      <c r="C161" s="8">
        <v>41738</v>
      </c>
      <c r="D161" s="7" t="s">
        <v>53</v>
      </c>
      <c r="E161" s="7" t="s">
        <v>43</v>
      </c>
      <c r="F161" s="7">
        <v>260981</v>
      </c>
      <c r="G161" s="7">
        <v>446</v>
      </c>
    </row>
    <row r="162" spans="3:7" ht="15.6" x14ac:dyDescent="0.3">
      <c r="C162" s="8">
        <v>41335</v>
      </c>
      <c r="D162" s="7" t="s">
        <v>54</v>
      </c>
      <c r="E162" s="7" t="s">
        <v>43</v>
      </c>
      <c r="F162" s="7">
        <v>129407</v>
      </c>
      <c r="G162" s="7">
        <v>100</v>
      </c>
    </row>
    <row r="163" spans="3:7" ht="15.6" x14ac:dyDescent="0.3">
      <c r="C163" s="8">
        <v>41717</v>
      </c>
      <c r="D163" s="7" t="s">
        <v>55</v>
      </c>
      <c r="E163" s="7" t="s">
        <v>46</v>
      </c>
      <c r="F163" s="7">
        <v>103482</v>
      </c>
      <c r="G163" s="7">
        <v>384</v>
      </c>
    </row>
    <row r="164" spans="3:7" ht="15.6" x14ac:dyDescent="0.3">
      <c r="C164" s="8">
        <v>41549</v>
      </c>
      <c r="D164" s="7" t="s">
        <v>37</v>
      </c>
      <c r="E164" s="7" t="s">
        <v>47</v>
      </c>
      <c r="F164" s="7">
        <v>479758</v>
      </c>
      <c r="G164" s="7">
        <v>195</v>
      </c>
    </row>
    <row r="165" spans="3:7" ht="15.6" x14ac:dyDescent="0.3">
      <c r="C165" s="8">
        <v>41286</v>
      </c>
      <c r="D165" s="7" t="s">
        <v>39</v>
      </c>
      <c r="E165" s="7" t="s">
        <v>38</v>
      </c>
      <c r="F165" s="7">
        <v>271912</v>
      </c>
      <c r="G165" s="7">
        <v>253</v>
      </c>
    </row>
    <row r="166" spans="3:7" ht="15.6" x14ac:dyDescent="0.3">
      <c r="C166" s="8">
        <v>41871</v>
      </c>
      <c r="D166" s="7" t="s">
        <v>56</v>
      </c>
      <c r="E166" s="7" t="s">
        <v>40</v>
      </c>
      <c r="F166" s="7">
        <v>164937</v>
      </c>
      <c r="G166" s="7">
        <v>166</v>
      </c>
    </row>
    <row r="167" spans="3:7" ht="15.6" x14ac:dyDescent="0.3">
      <c r="C167" s="8">
        <v>40894</v>
      </c>
      <c r="D167" s="7" t="s">
        <v>14</v>
      </c>
      <c r="E167" s="7" t="s">
        <v>42</v>
      </c>
      <c r="F167" s="7">
        <v>495289</v>
      </c>
      <c r="G167" s="7">
        <v>329</v>
      </c>
    </row>
    <row r="168" spans="3:7" ht="15.6" x14ac:dyDescent="0.3">
      <c r="C168" s="8">
        <v>41712</v>
      </c>
      <c r="D168" s="7" t="s">
        <v>44</v>
      </c>
      <c r="E168" s="7" t="s">
        <v>43</v>
      </c>
      <c r="F168" s="7">
        <v>217148</v>
      </c>
      <c r="G168" s="7">
        <v>159</v>
      </c>
    </row>
    <row r="169" spans="3:7" ht="15.6" x14ac:dyDescent="0.3">
      <c r="C169" s="8">
        <v>41359</v>
      </c>
      <c r="D169" s="7" t="s">
        <v>45</v>
      </c>
      <c r="E169" s="7" t="s">
        <v>43</v>
      </c>
      <c r="F169" s="7">
        <v>200871</v>
      </c>
      <c r="G169" s="7">
        <v>387</v>
      </c>
    </row>
    <row r="170" spans="3:7" ht="15.6" x14ac:dyDescent="0.3">
      <c r="C170" s="8">
        <v>41829</v>
      </c>
      <c r="D170" s="7" t="s">
        <v>11</v>
      </c>
      <c r="E170" s="7" t="s">
        <v>46</v>
      </c>
      <c r="F170" s="7">
        <v>345905</v>
      </c>
      <c r="G170" s="7">
        <v>343</v>
      </c>
    </row>
    <row r="171" spans="3:7" ht="15.6" x14ac:dyDescent="0.3">
      <c r="C171" s="8">
        <v>41436</v>
      </c>
      <c r="D171" s="7" t="s">
        <v>41</v>
      </c>
      <c r="E171" s="7" t="s">
        <v>47</v>
      </c>
      <c r="F171" s="7">
        <v>158038</v>
      </c>
      <c r="G171" s="7">
        <v>165</v>
      </c>
    </row>
    <row r="172" spans="3:7" ht="15.6" x14ac:dyDescent="0.3">
      <c r="C172" s="8">
        <v>40765</v>
      </c>
      <c r="D172" s="7" t="s">
        <v>48</v>
      </c>
      <c r="E172" s="7" t="s">
        <v>38</v>
      </c>
      <c r="F172" s="7">
        <v>156530</v>
      </c>
      <c r="G172" s="7">
        <v>209</v>
      </c>
    </row>
    <row r="173" spans="3:7" ht="15.6" x14ac:dyDescent="0.3">
      <c r="C173" s="8">
        <v>41715</v>
      </c>
      <c r="D173" s="7" t="s">
        <v>49</v>
      </c>
      <c r="E173" s="7" t="s">
        <v>40</v>
      </c>
      <c r="F173" s="7">
        <v>412494</v>
      </c>
      <c r="G173" s="7">
        <v>127</v>
      </c>
    </row>
    <row r="174" spans="3:7" ht="15.6" x14ac:dyDescent="0.3">
      <c r="C174" s="8">
        <v>41276</v>
      </c>
      <c r="D174" s="7" t="s">
        <v>50</v>
      </c>
      <c r="E174" s="7" t="s">
        <v>42</v>
      </c>
      <c r="F174" s="7">
        <v>208135</v>
      </c>
      <c r="G174" s="7">
        <v>326</v>
      </c>
    </row>
    <row r="175" spans="3:7" ht="15.6" x14ac:dyDescent="0.3">
      <c r="C175" s="8">
        <v>41604</v>
      </c>
      <c r="D175" s="7" t="s">
        <v>51</v>
      </c>
      <c r="E175" s="7" t="s">
        <v>43</v>
      </c>
      <c r="F175" s="7">
        <v>245994</v>
      </c>
      <c r="G175" s="7">
        <v>490</v>
      </c>
    </row>
    <row r="176" spans="3:7" ht="15.6" x14ac:dyDescent="0.3">
      <c r="C176" s="8">
        <v>41192</v>
      </c>
      <c r="D176" s="7" t="s">
        <v>52</v>
      </c>
      <c r="E176" s="7" t="s">
        <v>43</v>
      </c>
      <c r="F176" s="7">
        <v>142146</v>
      </c>
      <c r="G176" s="7">
        <v>396</v>
      </c>
    </row>
    <row r="177" spans="3:7" ht="15.6" x14ac:dyDescent="0.3">
      <c r="C177" s="8">
        <v>41935</v>
      </c>
      <c r="D177" s="7" t="s">
        <v>53</v>
      </c>
      <c r="E177" s="7" t="s">
        <v>46</v>
      </c>
      <c r="F177" s="7">
        <v>218327</v>
      </c>
      <c r="G177" s="7">
        <v>459</v>
      </c>
    </row>
    <row r="178" spans="3:7" ht="15.6" x14ac:dyDescent="0.3">
      <c r="C178" s="8">
        <v>40711</v>
      </c>
      <c r="D178" s="7" t="s">
        <v>54</v>
      </c>
      <c r="E178" s="7" t="s">
        <v>47</v>
      </c>
      <c r="F178" s="7">
        <v>377876</v>
      </c>
      <c r="G178" s="7">
        <v>493</v>
      </c>
    </row>
    <row r="179" spans="3:7" ht="15.6" x14ac:dyDescent="0.3">
      <c r="C179" s="8">
        <v>41732</v>
      </c>
      <c r="D179" s="7" t="s">
        <v>55</v>
      </c>
      <c r="E179" s="7" t="s">
        <v>38</v>
      </c>
      <c r="F179" s="7">
        <v>346211</v>
      </c>
      <c r="G179" s="7">
        <v>246</v>
      </c>
    </row>
    <row r="180" spans="3:7" ht="15.6" x14ac:dyDescent="0.3">
      <c r="C180" s="8">
        <v>40680</v>
      </c>
      <c r="D180" s="7" t="s">
        <v>37</v>
      </c>
      <c r="E180" s="7" t="s">
        <v>40</v>
      </c>
      <c r="F180" s="7">
        <v>288361</v>
      </c>
      <c r="G180" s="7">
        <v>120</v>
      </c>
    </row>
    <row r="181" spans="3:7" ht="15.6" x14ac:dyDescent="0.3">
      <c r="C181" s="8">
        <v>41681</v>
      </c>
      <c r="D181" s="7" t="s">
        <v>39</v>
      </c>
      <c r="E181" s="7" t="s">
        <v>42</v>
      </c>
      <c r="F181" s="7">
        <v>452783</v>
      </c>
      <c r="G181" s="7">
        <v>172</v>
      </c>
    </row>
    <row r="182" spans="3:7" ht="15.6" x14ac:dyDescent="0.3">
      <c r="C182" s="8">
        <v>41559</v>
      </c>
      <c r="D182" s="7" t="s">
        <v>56</v>
      </c>
      <c r="E182" s="7" t="s">
        <v>43</v>
      </c>
      <c r="F182" s="7">
        <v>471831</v>
      </c>
      <c r="G182" s="7">
        <v>140</v>
      </c>
    </row>
    <row r="183" spans="3:7" ht="15.6" x14ac:dyDescent="0.3">
      <c r="C183" s="8">
        <v>40805</v>
      </c>
      <c r="D183" s="7" t="s">
        <v>14</v>
      </c>
      <c r="E183" s="7" t="s">
        <v>43</v>
      </c>
      <c r="F183" s="7">
        <v>379454</v>
      </c>
      <c r="G183" s="7">
        <v>272</v>
      </c>
    </row>
    <row r="184" spans="3:7" ht="15.6" x14ac:dyDescent="0.3">
      <c r="C184" s="8">
        <v>41837</v>
      </c>
      <c r="D184" s="7" t="s">
        <v>44</v>
      </c>
      <c r="E184" s="7" t="s">
        <v>46</v>
      </c>
      <c r="F184" s="7">
        <v>127683</v>
      </c>
      <c r="G184" s="7">
        <v>349</v>
      </c>
    </row>
    <row r="185" spans="3:7" ht="15.6" x14ac:dyDescent="0.3">
      <c r="C185" s="8">
        <v>41965</v>
      </c>
      <c r="D185" s="7" t="s">
        <v>45</v>
      </c>
      <c r="E185" s="7" t="s">
        <v>47</v>
      </c>
      <c r="F185" s="7">
        <v>308340</v>
      </c>
      <c r="G185" s="7">
        <v>133</v>
      </c>
    </row>
    <row r="186" spans="3:7" ht="15.6" x14ac:dyDescent="0.3">
      <c r="C186" s="8">
        <v>40693</v>
      </c>
      <c r="D186" s="7" t="s">
        <v>11</v>
      </c>
      <c r="E186" s="7" t="s">
        <v>38</v>
      </c>
      <c r="F186" s="7">
        <v>383067</v>
      </c>
      <c r="G186" s="7">
        <v>477</v>
      </c>
    </row>
    <row r="187" spans="3:7" ht="15.6" x14ac:dyDescent="0.3">
      <c r="C187" s="8">
        <v>41730</v>
      </c>
      <c r="D187" s="7" t="s">
        <v>41</v>
      </c>
      <c r="E187" s="7" t="s">
        <v>40</v>
      </c>
      <c r="F187" s="7">
        <v>458317</v>
      </c>
      <c r="G187" s="7">
        <v>129</v>
      </c>
    </row>
    <row r="188" spans="3:7" ht="15.6" x14ac:dyDescent="0.3">
      <c r="C188" s="8">
        <v>41837</v>
      </c>
      <c r="D188" s="7" t="s">
        <v>48</v>
      </c>
      <c r="E188" s="7" t="s">
        <v>43</v>
      </c>
      <c r="F188" s="7">
        <v>103279</v>
      </c>
      <c r="G188" s="7">
        <v>480</v>
      </c>
    </row>
    <row r="189" spans="3:7" ht="15.6" x14ac:dyDescent="0.3">
      <c r="C189" s="8">
        <v>41880</v>
      </c>
      <c r="D189" s="7" t="s">
        <v>49</v>
      </c>
      <c r="E189" s="7" t="s">
        <v>46</v>
      </c>
      <c r="F189" s="7">
        <v>190940</v>
      </c>
      <c r="G189" s="7">
        <v>438</v>
      </c>
    </row>
    <row r="190" spans="3:7" ht="15.6" x14ac:dyDescent="0.3">
      <c r="C190" s="8">
        <v>41269</v>
      </c>
      <c r="D190" s="7" t="s">
        <v>50</v>
      </c>
      <c r="E190" s="7" t="s">
        <v>47</v>
      </c>
      <c r="F190" s="7">
        <v>274121</v>
      </c>
      <c r="G190" s="7">
        <v>110</v>
      </c>
    </row>
    <row r="191" spans="3:7" ht="15.6" x14ac:dyDescent="0.3">
      <c r="C191" s="8">
        <v>41954</v>
      </c>
      <c r="D191" s="7" t="s">
        <v>51</v>
      </c>
      <c r="E191" s="7" t="s">
        <v>38</v>
      </c>
      <c r="F191" s="7">
        <v>434698</v>
      </c>
      <c r="G191" s="7">
        <v>163</v>
      </c>
    </row>
    <row r="192" spans="3:7" ht="15.6" x14ac:dyDescent="0.3">
      <c r="C192" s="8">
        <v>41395</v>
      </c>
      <c r="D192" s="7" t="s">
        <v>52</v>
      </c>
      <c r="E192" s="7" t="s">
        <v>40</v>
      </c>
      <c r="F192" s="7">
        <v>188527</v>
      </c>
      <c r="G192" s="7">
        <v>391</v>
      </c>
    </row>
    <row r="193" spans="3:7" ht="15.6" x14ac:dyDescent="0.3">
      <c r="C193" s="8">
        <v>40771</v>
      </c>
      <c r="D193" s="7" t="s">
        <v>53</v>
      </c>
      <c r="E193" s="7" t="s">
        <v>43</v>
      </c>
      <c r="F193" s="7">
        <v>218011</v>
      </c>
      <c r="G193" s="7">
        <v>493</v>
      </c>
    </row>
    <row r="194" spans="3:7" ht="15.6" x14ac:dyDescent="0.3">
      <c r="C194" s="8">
        <v>41976</v>
      </c>
      <c r="D194" s="7" t="s">
        <v>54</v>
      </c>
      <c r="E194" s="7" t="s">
        <v>46</v>
      </c>
      <c r="F194" s="7">
        <v>110662</v>
      </c>
      <c r="G194" s="7">
        <v>145</v>
      </c>
    </row>
    <row r="195" spans="3:7" ht="15.6" x14ac:dyDescent="0.3">
      <c r="C195" s="8">
        <v>41450</v>
      </c>
      <c r="D195" s="7" t="s">
        <v>55</v>
      </c>
      <c r="E195" s="7" t="s">
        <v>47</v>
      </c>
      <c r="F195" s="7">
        <v>400944</v>
      </c>
      <c r="G195" s="7">
        <v>138</v>
      </c>
    </row>
    <row r="196" spans="3:7" ht="15.6" x14ac:dyDescent="0.3">
      <c r="C196" s="8">
        <v>41295</v>
      </c>
      <c r="D196" s="7" t="s">
        <v>37</v>
      </c>
      <c r="E196" s="7" t="s">
        <v>38</v>
      </c>
      <c r="F196" s="7">
        <v>313909</v>
      </c>
      <c r="G196" s="7">
        <v>178</v>
      </c>
    </row>
    <row r="197" spans="3:7" ht="15.6" x14ac:dyDescent="0.3">
      <c r="C197" s="8">
        <v>41569</v>
      </c>
      <c r="D197" s="7" t="s">
        <v>39</v>
      </c>
      <c r="E197" s="7" t="s">
        <v>40</v>
      </c>
      <c r="F197" s="7">
        <v>231618</v>
      </c>
      <c r="G197" s="7">
        <v>141</v>
      </c>
    </row>
    <row r="198" spans="3:7" ht="15.6" x14ac:dyDescent="0.3">
      <c r="C198" s="8">
        <v>41832</v>
      </c>
      <c r="D198" s="7" t="s">
        <v>56</v>
      </c>
      <c r="E198" s="7" t="s">
        <v>43</v>
      </c>
      <c r="F198" s="7">
        <v>267795</v>
      </c>
      <c r="G198" s="7">
        <v>393</v>
      </c>
    </row>
    <row r="199" spans="3:7" ht="15.6" x14ac:dyDescent="0.3">
      <c r="C199" s="8">
        <v>41634</v>
      </c>
      <c r="D199" s="7" t="s">
        <v>14</v>
      </c>
      <c r="E199" s="7" t="s">
        <v>46</v>
      </c>
      <c r="F199" s="7">
        <v>362504</v>
      </c>
      <c r="G199" s="7">
        <v>229</v>
      </c>
    </row>
    <row r="200" spans="3:7" ht="15.6" x14ac:dyDescent="0.3">
      <c r="C200" s="8">
        <v>41883</v>
      </c>
      <c r="D200" s="7" t="s">
        <v>44</v>
      </c>
      <c r="E200" s="7" t="s">
        <v>40</v>
      </c>
      <c r="F200" s="7">
        <v>226986</v>
      </c>
      <c r="G200" s="7">
        <v>148</v>
      </c>
    </row>
    <row r="201" spans="3:7" ht="15.6" x14ac:dyDescent="0.3">
      <c r="C201" s="8">
        <v>40864</v>
      </c>
      <c r="D201" s="7" t="s">
        <v>45</v>
      </c>
      <c r="E201" s="7" t="s">
        <v>43</v>
      </c>
      <c r="F201" s="7">
        <v>405957</v>
      </c>
      <c r="G201" s="7">
        <v>195</v>
      </c>
    </row>
    <row r="202" spans="3:7" ht="15.6" x14ac:dyDescent="0.3">
      <c r="C202" s="8">
        <v>40701</v>
      </c>
      <c r="D202" s="7" t="s">
        <v>11</v>
      </c>
      <c r="E202" s="7" t="s">
        <v>46</v>
      </c>
      <c r="F202" s="7">
        <v>256038</v>
      </c>
      <c r="G202" s="7">
        <v>282</v>
      </c>
    </row>
    <row r="203" spans="3:7" ht="15.6" x14ac:dyDescent="0.3">
      <c r="C203" s="8">
        <v>40829</v>
      </c>
      <c r="D203" s="7" t="s">
        <v>41</v>
      </c>
      <c r="E203" s="7" t="s">
        <v>40</v>
      </c>
      <c r="F203" s="7">
        <v>173012</v>
      </c>
      <c r="G203" s="7">
        <v>396</v>
      </c>
    </row>
    <row r="204" spans="3:7" ht="15.6" x14ac:dyDescent="0.3">
      <c r="C204" s="8">
        <v>41435</v>
      </c>
      <c r="D204" s="7" t="s">
        <v>48</v>
      </c>
      <c r="E204" s="7" t="s">
        <v>43</v>
      </c>
      <c r="F204" s="7">
        <v>491350</v>
      </c>
      <c r="G204" s="7">
        <v>168</v>
      </c>
    </row>
    <row r="205" spans="3:7" ht="15.6" x14ac:dyDescent="0.3">
      <c r="C205" s="8">
        <v>41986</v>
      </c>
      <c r="D205" s="7" t="s">
        <v>49</v>
      </c>
      <c r="E205" s="7" t="s">
        <v>46</v>
      </c>
      <c r="F205" s="7">
        <v>281247</v>
      </c>
      <c r="G205" s="7">
        <v>362</v>
      </c>
    </row>
    <row r="206" spans="3:7" ht="15.6" x14ac:dyDescent="0.3">
      <c r="C206" s="8">
        <v>41925</v>
      </c>
      <c r="D206" s="7" t="s">
        <v>50</v>
      </c>
      <c r="E206" s="7" t="s">
        <v>40</v>
      </c>
      <c r="F206" s="7">
        <v>236388</v>
      </c>
      <c r="G206" s="7">
        <v>178</v>
      </c>
    </row>
    <row r="207" spans="3:7" ht="15.6" x14ac:dyDescent="0.3">
      <c r="C207" s="8">
        <v>41800</v>
      </c>
      <c r="D207" s="7" t="s">
        <v>51</v>
      </c>
      <c r="E207" s="7" t="s">
        <v>40</v>
      </c>
      <c r="F207" s="7">
        <v>265718</v>
      </c>
      <c r="G207" s="7">
        <v>371</v>
      </c>
    </row>
    <row r="208" spans="3:7" ht="15.6" x14ac:dyDescent="0.3">
      <c r="C208" s="8">
        <v>40589</v>
      </c>
      <c r="D208" s="7" t="s">
        <v>52</v>
      </c>
      <c r="E208" s="7" t="s">
        <v>43</v>
      </c>
      <c r="F208" s="7">
        <v>370810</v>
      </c>
      <c r="G208" s="7">
        <v>346</v>
      </c>
    </row>
    <row r="209" spans="3:7" ht="15.6" x14ac:dyDescent="0.3">
      <c r="C209" s="8">
        <v>41606</v>
      </c>
      <c r="D209" s="7" t="s">
        <v>53</v>
      </c>
      <c r="E209" s="7" t="s">
        <v>46</v>
      </c>
      <c r="F209" s="7">
        <v>152928</v>
      </c>
      <c r="G209" s="7">
        <v>338</v>
      </c>
    </row>
    <row r="210" spans="3:7" ht="15.6" x14ac:dyDescent="0.3">
      <c r="C210" s="8">
        <v>41808</v>
      </c>
      <c r="D210" s="7" t="s">
        <v>54</v>
      </c>
      <c r="E210" s="7" t="s">
        <v>40</v>
      </c>
      <c r="F210" s="7">
        <v>337789</v>
      </c>
      <c r="G210" s="7">
        <v>414</v>
      </c>
    </row>
    <row r="211" spans="3:7" ht="15.6" x14ac:dyDescent="0.3">
      <c r="C211" s="8">
        <v>41537</v>
      </c>
      <c r="D211" s="7" t="s">
        <v>55</v>
      </c>
      <c r="E211" s="7" t="s">
        <v>43</v>
      </c>
      <c r="F211" s="7">
        <v>401477</v>
      </c>
      <c r="G211" s="7">
        <v>123</v>
      </c>
    </row>
    <row r="212" spans="3:7" ht="15.6" x14ac:dyDescent="0.3">
      <c r="C212" s="8">
        <v>40764</v>
      </c>
      <c r="D212" s="7" t="s">
        <v>37</v>
      </c>
      <c r="E212" s="7" t="s">
        <v>46</v>
      </c>
      <c r="F212" s="7">
        <v>275776</v>
      </c>
      <c r="G212" s="7">
        <v>410</v>
      </c>
    </row>
    <row r="213" spans="3:7" ht="15.6" x14ac:dyDescent="0.3">
      <c r="C213" s="8">
        <v>40715</v>
      </c>
      <c r="D213" s="7" t="s">
        <v>39</v>
      </c>
      <c r="E213" s="7" t="s">
        <v>40</v>
      </c>
      <c r="F213" s="7">
        <v>122309</v>
      </c>
      <c r="G213" s="7">
        <v>471</v>
      </c>
    </row>
    <row r="214" spans="3:7" ht="15.6" x14ac:dyDescent="0.3">
      <c r="C214" s="8">
        <v>41123</v>
      </c>
      <c r="D214" s="7" t="s">
        <v>56</v>
      </c>
      <c r="E214" s="7" t="s">
        <v>43</v>
      </c>
      <c r="F214" s="7">
        <v>499952</v>
      </c>
      <c r="G214" s="7">
        <v>319</v>
      </c>
    </row>
    <row r="215" spans="3:7" ht="15.6" x14ac:dyDescent="0.3">
      <c r="C215" s="8">
        <v>41079</v>
      </c>
      <c r="D215" s="7" t="s">
        <v>14</v>
      </c>
      <c r="E215" s="7" t="s">
        <v>46</v>
      </c>
      <c r="F215" s="7">
        <v>496609</v>
      </c>
      <c r="G215" s="7">
        <v>107</v>
      </c>
    </row>
    <row r="216" spans="3:7" ht="15.6" x14ac:dyDescent="0.3">
      <c r="C216" s="8">
        <v>41106</v>
      </c>
      <c r="D216" s="7" t="s">
        <v>44</v>
      </c>
      <c r="E216" s="7" t="s">
        <v>40</v>
      </c>
      <c r="F216" s="7">
        <v>425827</v>
      </c>
      <c r="G216" s="7">
        <v>308</v>
      </c>
    </row>
    <row r="217" spans="3:7" ht="15.6" x14ac:dyDescent="0.3">
      <c r="C217" s="8">
        <v>41488</v>
      </c>
      <c r="D217" s="7" t="s">
        <v>45</v>
      </c>
      <c r="E217" s="7" t="s">
        <v>40</v>
      </c>
      <c r="F217" s="7">
        <v>338772</v>
      </c>
      <c r="G217" s="7">
        <v>269</v>
      </c>
    </row>
    <row r="218" spans="3:7" ht="15.6" x14ac:dyDescent="0.3">
      <c r="C218" s="8">
        <v>41781</v>
      </c>
      <c r="D218" s="7" t="s">
        <v>11</v>
      </c>
      <c r="E218" s="7" t="s">
        <v>43</v>
      </c>
      <c r="F218" s="7">
        <v>370649</v>
      </c>
      <c r="G218" s="7">
        <v>395</v>
      </c>
    </row>
    <row r="219" spans="3:7" ht="15.6" x14ac:dyDescent="0.3">
      <c r="C219" s="8">
        <v>40584</v>
      </c>
      <c r="D219" s="7" t="s">
        <v>41</v>
      </c>
      <c r="E219" s="7" t="s">
        <v>46</v>
      </c>
      <c r="F219" s="7">
        <v>495691</v>
      </c>
      <c r="G219" s="7">
        <v>304</v>
      </c>
    </row>
    <row r="220" spans="3:7" ht="15.6" x14ac:dyDescent="0.3">
      <c r="C220" s="8">
        <v>41544</v>
      </c>
      <c r="D220" s="7" t="s">
        <v>48</v>
      </c>
      <c r="E220" s="7" t="s">
        <v>40</v>
      </c>
      <c r="F220" s="7">
        <v>380747</v>
      </c>
      <c r="G220" s="7">
        <v>178</v>
      </c>
    </row>
    <row r="221" spans="3:7" ht="15.6" x14ac:dyDescent="0.3">
      <c r="C221" s="8">
        <v>41792</v>
      </c>
      <c r="D221" s="7" t="s">
        <v>49</v>
      </c>
      <c r="E221" s="7" t="s">
        <v>43</v>
      </c>
      <c r="F221" s="7">
        <v>279706</v>
      </c>
      <c r="G221" s="7">
        <v>431</v>
      </c>
    </row>
    <row r="222" spans="3:7" ht="15.6" x14ac:dyDescent="0.3">
      <c r="C222" s="8">
        <v>41547</v>
      </c>
      <c r="D222" s="7" t="s">
        <v>50</v>
      </c>
      <c r="E222" s="7" t="s">
        <v>46</v>
      </c>
      <c r="F222" s="7">
        <v>404080</v>
      </c>
      <c r="G222" s="7">
        <v>396</v>
      </c>
    </row>
    <row r="223" spans="3:7" ht="15.6" x14ac:dyDescent="0.3">
      <c r="C223" s="8">
        <v>40743</v>
      </c>
      <c r="D223" s="7" t="s">
        <v>51</v>
      </c>
      <c r="E223" s="7" t="s">
        <v>40</v>
      </c>
      <c r="F223" s="7">
        <v>273119</v>
      </c>
      <c r="G223" s="7">
        <v>478</v>
      </c>
    </row>
    <row r="224" spans="3:7" ht="15.6" x14ac:dyDescent="0.3">
      <c r="C224" s="8">
        <v>41865</v>
      </c>
      <c r="D224" s="7" t="s">
        <v>52</v>
      </c>
      <c r="E224" s="7" t="s">
        <v>43</v>
      </c>
      <c r="F224" s="7">
        <v>264066</v>
      </c>
      <c r="G224" s="7">
        <v>220</v>
      </c>
    </row>
    <row r="225" spans="3:7" ht="15.6" x14ac:dyDescent="0.3">
      <c r="C225" s="8">
        <v>41481</v>
      </c>
      <c r="D225" s="7" t="s">
        <v>53</v>
      </c>
      <c r="E225" s="7" t="s">
        <v>46</v>
      </c>
      <c r="F225" s="7">
        <v>102919</v>
      </c>
      <c r="G225" s="7">
        <v>482</v>
      </c>
    </row>
    <row r="226" spans="3:7" ht="15.6" x14ac:dyDescent="0.3">
      <c r="C226" s="8">
        <v>41943</v>
      </c>
      <c r="D226" s="7" t="s">
        <v>54</v>
      </c>
      <c r="E226" s="7" t="s">
        <v>40</v>
      </c>
      <c r="F226" s="7">
        <v>357724</v>
      </c>
      <c r="G226" s="7">
        <v>428</v>
      </c>
    </row>
    <row r="227" spans="3:7" ht="15.6" x14ac:dyDescent="0.3">
      <c r="C227" s="8">
        <v>41480</v>
      </c>
      <c r="D227" s="7" t="s">
        <v>55</v>
      </c>
      <c r="E227" s="7" t="s">
        <v>40</v>
      </c>
      <c r="F227" s="7">
        <v>305355</v>
      </c>
      <c r="G227" s="7">
        <v>308</v>
      </c>
    </row>
    <row r="228" spans="3:7" ht="15.6" x14ac:dyDescent="0.3">
      <c r="C228" s="8">
        <v>41919</v>
      </c>
      <c r="D228" s="7" t="s">
        <v>37</v>
      </c>
      <c r="E228" s="7" t="s">
        <v>43</v>
      </c>
      <c r="F228" s="7">
        <v>403298</v>
      </c>
      <c r="G228" s="7">
        <v>374</v>
      </c>
    </row>
    <row r="229" spans="3:7" ht="15.6" x14ac:dyDescent="0.3">
      <c r="C229" s="8">
        <v>41929</v>
      </c>
      <c r="D229" s="7" t="s">
        <v>39</v>
      </c>
      <c r="E229" s="7" t="s">
        <v>46</v>
      </c>
      <c r="F229" s="7">
        <v>171352</v>
      </c>
      <c r="G229" s="7">
        <v>434</v>
      </c>
    </row>
    <row r="230" spans="3:7" ht="15.6" x14ac:dyDescent="0.3">
      <c r="C230" s="8">
        <v>41611</v>
      </c>
      <c r="D230" s="7" t="s">
        <v>56</v>
      </c>
      <c r="E230" s="7" t="s">
        <v>40</v>
      </c>
      <c r="F230" s="7">
        <v>244752</v>
      </c>
      <c r="G230" s="7">
        <v>465</v>
      </c>
    </row>
    <row r="231" spans="3:7" ht="15.6" x14ac:dyDescent="0.3">
      <c r="C231" s="8">
        <v>41951</v>
      </c>
      <c r="D231" s="7" t="s">
        <v>14</v>
      </c>
      <c r="E231" s="7" t="s">
        <v>43</v>
      </c>
      <c r="F231" s="7">
        <v>477480</v>
      </c>
      <c r="G231" s="7">
        <v>372</v>
      </c>
    </row>
    <row r="232" spans="3:7" ht="15.6" x14ac:dyDescent="0.3">
      <c r="C232" s="8">
        <v>41435</v>
      </c>
      <c r="D232" s="7" t="s">
        <v>44</v>
      </c>
      <c r="E232" s="7" t="s">
        <v>46</v>
      </c>
      <c r="F232" s="7">
        <v>380321</v>
      </c>
      <c r="G232" s="7">
        <v>370</v>
      </c>
    </row>
    <row r="233" spans="3:7" ht="15.6" x14ac:dyDescent="0.3">
      <c r="C233" s="8">
        <v>40807</v>
      </c>
      <c r="D233" s="7" t="s">
        <v>45</v>
      </c>
      <c r="E233" s="7" t="s">
        <v>40</v>
      </c>
      <c r="F233" s="7">
        <v>451663</v>
      </c>
      <c r="G233" s="7">
        <v>268</v>
      </c>
    </row>
    <row r="234" spans="3:7" ht="15.6" x14ac:dyDescent="0.3">
      <c r="C234" s="8">
        <v>40715</v>
      </c>
      <c r="D234" s="7" t="s">
        <v>11</v>
      </c>
      <c r="E234" s="7" t="s">
        <v>43</v>
      </c>
      <c r="F234" s="7">
        <v>186931</v>
      </c>
      <c r="G234" s="7">
        <v>439</v>
      </c>
    </row>
    <row r="235" spans="3:7" ht="15.6" x14ac:dyDescent="0.3">
      <c r="C235" s="8">
        <v>41768</v>
      </c>
      <c r="D235" s="7" t="s">
        <v>41</v>
      </c>
      <c r="E235" s="7" t="s">
        <v>46</v>
      </c>
      <c r="F235" s="7">
        <v>336822</v>
      </c>
      <c r="G235" s="7">
        <v>345</v>
      </c>
    </row>
    <row r="236" spans="3:7" ht="15.6" x14ac:dyDescent="0.3">
      <c r="C236" s="8">
        <v>41905</v>
      </c>
      <c r="D236" s="7" t="s">
        <v>48</v>
      </c>
      <c r="E236" s="7" t="s">
        <v>40</v>
      </c>
      <c r="F236" s="7">
        <v>145235</v>
      </c>
      <c r="G236" s="7">
        <v>222</v>
      </c>
    </row>
    <row r="237" spans="3:7" ht="15.6" x14ac:dyDescent="0.3">
      <c r="C237" s="8">
        <v>41969</v>
      </c>
      <c r="D237" s="7" t="s">
        <v>49</v>
      </c>
      <c r="E237" s="7" t="s">
        <v>40</v>
      </c>
      <c r="F237" s="7">
        <v>337823</v>
      </c>
      <c r="G237" s="7">
        <v>387</v>
      </c>
    </row>
    <row r="238" spans="3:7" ht="15.6" x14ac:dyDescent="0.3">
      <c r="C238" s="8">
        <v>40998</v>
      </c>
      <c r="D238" s="7" t="s">
        <v>50</v>
      </c>
      <c r="E238" s="7" t="s">
        <v>43</v>
      </c>
      <c r="F238" s="7">
        <v>156807</v>
      </c>
      <c r="G238" s="7">
        <v>495</v>
      </c>
    </row>
    <row r="239" spans="3:7" ht="15.6" x14ac:dyDescent="0.3">
      <c r="C239" s="8">
        <v>40857</v>
      </c>
      <c r="D239" s="7" t="s">
        <v>51</v>
      </c>
      <c r="E239" s="7" t="s">
        <v>46</v>
      </c>
      <c r="F239" s="7">
        <v>459558</v>
      </c>
      <c r="G239" s="7">
        <v>266</v>
      </c>
    </row>
    <row r="240" spans="3:7" ht="15.6" x14ac:dyDescent="0.3">
      <c r="C240" s="8">
        <v>41873</v>
      </c>
      <c r="D240" s="7" t="s">
        <v>52</v>
      </c>
      <c r="E240" s="7" t="s">
        <v>40</v>
      </c>
      <c r="F240" s="7">
        <v>498726</v>
      </c>
      <c r="G240" s="7">
        <v>242</v>
      </c>
    </row>
    <row r="241" spans="3:7" ht="15.6" x14ac:dyDescent="0.3">
      <c r="C241" s="8">
        <v>41122</v>
      </c>
      <c r="D241" s="7" t="s">
        <v>53</v>
      </c>
      <c r="E241" s="7" t="s">
        <v>43</v>
      </c>
      <c r="F241" s="7">
        <v>264353</v>
      </c>
      <c r="G241" s="7">
        <v>441</v>
      </c>
    </row>
    <row r="242" spans="3:7" ht="15.6" x14ac:dyDescent="0.3">
      <c r="C242" s="8">
        <v>41996</v>
      </c>
      <c r="D242" s="7" t="s">
        <v>54</v>
      </c>
      <c r="E242" s="7" t="s">
        <v>46</v>
      </c>
      <c r="F242" s="7">
        <v>416711</v>
      </c>
      <c r="G242" s="7">
        <v>101</v>
      </c>
    </row>
    <row r="243" spans="3:7" ht="15.6" x14ac:dyDescent="0.3">
      <c r="C243" s="8">
        <v>41824</v>
      </c>
      <c r="D243" s="7" t="s">
        <v>55</v>
      </c>
      <c r="E243" s="7" t="s">
        <v>40</v>
      </c>
      <c r="F243" s="7">
        <v>137563</v>
      </c>
      <c r="G243" s="7">
        <v>320</v>
      </c>
    </row>
    <row r="244" spans="3:7" ht="15.6" x14ac:dyDescent="0.3">
      <c r="C244" s="8">
        <v>41964</v>
      </c>
      <c r="D244" s="7" t="s">
        <v>37</v>
      </c>
      <c r="E244" s="7" t="s">
        <v>43</v>
      </c>
      <c r="F244" s="7">
        <v>461411</v>
      </c>
      <c r="G244" s="7">
        <v>463</v>
      </c>
    </row>
    <row r="245" spans="3:7" ht="15.6" x14ac:dyDescent="0.3">
      <c r="C245" s="8">
        <v>41297</v>
      </c>
      <c r="D245" s="7" t="s">
        <v>39</v>
      </c>
      <c r="E245" s="7" t="s">
        <v>46</v>
      </c>
      <c r="F245" s="7">
        <v>110431</v>
      </c>
      <c r="G245" s="7">
        <v>264</v>
      </c>
    </row>
    <row r="246" spans="3:7" ht="15.6" x14ac:dyDescent="0.3">
      <c r="C246" s="8">
        <v>40684</v>
      </c>
      <c r="D246" s="7" t="s">
        <v>56</v>
      </c>
      <c r="E246" s="7" t="s">
        <v>40</v>
      </c>
      <c r="F246" s="7">
        <v>382372</v>
      </c>
      <c r="G246" s="7">
        <v>441</v>
      </c>
    </row>
    <row r="247" spans="3:7" ht="15.6" x14ac:dyDescent="0.3">
      <c r="C247" s="8">
        <v>41910</v>
      </c>
      <c r="D247" s="7" t="s">
        <v>14</v>
      </c>
      <c r="E247" s="7" t="s">
        <v>40</v>
      </c>
      <c r="F247" s="7">
        <v>465459</v>
      </c>
      <c r="G247" s="7">
        <v>112</v>
      </c>
    </row>
    <row r="248" spans="3:7" ht="15.6" x14ac:dyDescent="0.3">
      <c r="C248" s="8">
        <v>40853</v>
      </c>
      <c r="D248" s="7" t="s">
        <v>44</v>
      </c>
      <c r="E248" s="7" t="s">
        <v>43</v>
      </c>
      <c r="F248" s="7">
        <v>260223</v>
      </c>
      <c r="G248" s="7">
        <v>392</v>
      </c>
    </row>
    <row r="249" spans="3:7" ht="15.6" x14ac:dyDescent="0.3">
      <c r="C249" s="8">
        <v>41667</v>
      </c>
      <c r="D249" s="7" t="s">
        <v>45</v>
      </c>
      <c r="E249" s="7" t="s">
        <v>46</v>
      </c>
      <c r="F249" s="7">
        <v>247033</v>
      </c>
      <c r="G249" s="7">
        <v>477</v>
      </c>
    </row>
    <row r="250" spans="3:7" ht="15.6" x14ac:dyDescent="0.3">
      <c r="C250" s="8">
        <v>41895</v>
      </c>
      <c r="D250" s="7" t="s">
        <v>11</v>
      </c>
      <c r="E250" s="7" t="s">
        <v>40</v>
      </c>
      <c r="F250" s="7">
        <v>188357</v>
      </c>
      <c r="G250" s="7">
        <v>117</v>
      </c>
    </row>
    <row r="251" spans="3:7" ht="15.6" x14ac:dyDescent="0.3">
      <c r="C251" s="8">
        <v>41244</v>
      </c>
      <c r="D251" s="7" t="s">
        <v>41</v>
      </c>
      <c r="E251" s="7" t="s">
        <v>43</v>
      </c>
      <c r="F251" s="7">
        <v>483505</v>
      </c>
      <c r="G251" s="7">
        <v>294</v>
      </c>
    </row>
    <row r="252" spans="3:7" ht="15.6" x14ac:dyDescent="0.3">
      <c r="C252" s="8">
        <v>40899</v>
      </c>
      <c r="D252" s="7" t="s">
        <v>48</v>
      </c>
      <c r="E252" s="7" t="s">
        <v>46</v>
      </c>
      <c r="F252" s="7">
        <v>248963</v>
      </c>
      <c r="G252" s="7">
        <v>227</v>
      </c>
    </row>
    <row r="253" spans="3:7" ht="15.6" x14ac:dyDescent="0.3">
      <c r="C253" s="8">
        <v>41310</v>
      </c>
      <c r="D253" s="7" t="s">
        <v>49</v>
      </c>
      <c r="E253" s="7" t="s">
        <v>40</v>
      </c>
      <c r="F253" s="7">
        <v>189072</v>
      </c>
      <c r="G253" s="7">
        <v>136</v>
      </c>
    </row>
    <row r="254" spans="3:7" ht="15.6" x14ac:dyDescent="0.3">
      <c r="C254" s="8">
        <v>40905</v>
      </c>
      <c r="D254" s="7" t="s">
        <v>50</v>
      </c>
      <c r="E254" s="7" t="s">
        <v>43</v>
      </c>
      <c r="F254" s="7">
        <v>194094</v>
      </c>
      <c r="G254" s="7">
        <v>232</v>
      </c>
    </row>
    <row r="255" spans="3:7" ht="15.6" x14ac:dyDescent="0.3">
      <c r="C255" s="8">
        <v>41422</v>
      </c>
      <c r="D255" s="7" t="s">
        <v>51</v>
      </c>
      <c r="E255" s="7" t="s">
        <v>46</v>
      </c>
      <c r="F255" s="7">
        <v>412591</v>
      </c>
      <c r="G255" s="7">
        <v>400</v>
      </c>
    </row>
    <row r="256" spans="3:7" ht="15.6" x14ac:dyDescent="0.3">
      <c r="C256" s="8">
        <v>40660</v>
      </c>
      <c r="D256" s="7" t="s">
        <v>52</v>
      </c>
      <c r="E256" s="7" t="s">
        <v>40</v>
      </c>
      <c r="F256" s="7">
        <v>115167</v>
      </c>
      <c r="G256" s="7">
        <v>223</v>
      </c>
    </row>
    <row r="257" spans="3:7" ht="15.6" x14ac:dyDescent="0.3">
      <c r="C257" s="8">
        <v>40822</v>
      </c>
      <c r="D257" s="7" t="s">
        <v>53</v>
      </c>
      <c r="E257" s="7" t="s">
        <v>40</v>
      </c>
      <c r="F257" s="7">
        <v>450524</v>
      </c>
      <c r="G257" s="7">
        <v>452</v>
      </c>
    </row>
    <row r="258" spans="3:7" ht="15.6" x14ac:dyDescent="0.3">
      <c r="C258" s="8">
        <v>41510</v>
      </c>
      <c r="D258" s="7" t="s">
        <v>54</v>
      </c>
      <c r="E258" s="7" t="s">
        <v>43</v>
      </c>
      <c r="F258" s="7">
        <v>479401</v>
      </c>
      <c r="G258" s="7">
        <v>417</v>
      </c>
    </row>
    <row r="259" spans="3:7" ht="15.6" x14ac:dyDescent="0.3">
      <c r="C259" s="8">
        <v>41538</v>
      </c>
      <c r="D259" s="7" t="s">
        <v>55</v>
      </c>
      <c r="E259" s="7" t="s">
        <v>46</v>
      </c>
      <c r="F259" s="7">
        <v>263282</v>
      </c>
      <c r="G259" s="7">
        <v>291</v>
      </c>
    </row>
    <row r="260" spans="3:7" ht="15.6" x14ac:dyDescent="0.3">
      <c r="C260" s="8">
        <v>41990</v>
      </c>
      <c r="D260" s="7" t="s">
        <v>37</v>
      </c>
      <c r="E260" s="7" t="s">
        <v>40</v>
      </c>
      <c r="F260" s="7">
        <v>335768</v>
      </c>
      <c r="G260" s="7">
        <v>439</v>
      </c>
    </row>
    <row r="261" spans="3:7" ht="15.6" x14ac:dyDescent="0.3">
      <c r="C261" s="8">
        <v>40805</v>
      </c>
      <c r="D261" s="7" t="s">
        <v>39</v>
      </c>
      <c r="E261" s="7" t="s">
        <v>43</v>
      </c>
      <c r="F261" s="7">
        <v>344460</v>
      </c>
      <c r="G261" s="7">
        <v>101</v>
      </c>
    </row>
    <row r="262" spans="3:7" ht="15.6" x14ac:dyDescent="0.3">
      <c r="C262" s="8">
        <v>41824</v>
      </c>
      <c r="D262" s="7" t="s">
        <v>56</v>
      </c>
      <c r="E262" s="7" t="s">
        <v>46</v>
      </c>
      <c r="F262" s="7">
        <v>346959</v>
      </c>
      <c r="G262" s="7">
        <v>399</v>
      </c>
    </row>
    <row r="263" spans="3:7" ht="15.6" x14ac:dyDescent="0.3">
      <c r="C263" s="8">
        <v>40684</v>
      </c>
      <c r="D263" s="7" t="s">
        <v>14</v>
      </c>
      <c r="E263" s="7" t="s">
        <v>40</v>
      </c>
      <c r="F263" s="7">
        <v>233039</v>
      </c>
      <c r="G263" s="7">
        <v>110</v>
      </c>
    </row>
    <row r="264" spans="3:7" ht="15.6" x14ac:dyDescent="0.3">
      <c r="C264" s="8">
        <v>41793</v>
      </c>
      <c r="D264" s="7" t="s">
        <v>44</v>
      </c>
      <c r="E264" s="7" t="s">
        <v>43</v>
      </c>
      <c r="F264" s="7">
        <v>359274</v>
      </c>
      <c r="G264" s="7">
        <v>287</v>
      </c>
    </row>
    <row r="265" spans="3:7" ht="15.6" x14ac:dyDescent="0.3">
      <c r="C265" s="8">
        <v>41894</v>
      </c>
      <c r="D265" s="7" t="s">
        <v>45</v>
      </c>
      <c r="E265" s="7" t="s">
        <v>46</v>
      </c>
      <c r="F265" s="7">
        <v>261398</v>
      </c>
      <c r="G265" s="7">
        <v>371</v>
      </c>
    </row>
    <row r="266" spans="3:7" ht="15.6" x14ac:dyDescent="0.3">
      <c r="C266" s="8">
        <v>41746</v>
      </c>
      <c r="D266" s="7" t="s">
        <v>11</v>
      </c>
      <c r="E266" s="7" t="s">
        <v>40</v>
      </c>
      <c r="F266" s="7">
        <v>416906</v>
      </c>
      <c r="G266" s="7">
        <v>355</v>
      </c>
    </row>
    <row r="267" spans="3:7" ht="15.6" x14ac:dyDescent="0.3">
      <c r="C267" s="8">
        <v>41234</v>
      </c>
      <c r="D267" s="7" t="s">
        <v>41</v>
      </c>
      <c r="E267" s="7" t="s">
        <v>40</v>
      </c>
      <c r="F267" s="7">
        <v>182052</v>
      </c>
      <c r="G267" s="7">
        <v>310</v>
      </c>
    </row>
    <row r="268" spans="3:7" ht="15.6" x14ac:dyDescent="0.3">
      <c r="C268" s="8">
        <v>41704</v>
      </c>
      <c r="D268" s="7" t="s">
        <v>48</v>
      </c>
      <c r="E268" s="7" t="s">
        <v>43</v>
      </c>
      <c r="F268" s="7">
        <v>169837</v>
      </c>
      <c r="G268" s="7">
        <v>129</v>
      </c>
    </row>
    <row r="269" spans="3:7" ht="15.6" x14ac:dyDescent="0.3">
      <c r="C269" s="8">
        <v>41113</v>
      </c>
      <c r="D269" s="7" t="s">
        <v>49</v>
      </c>
      <c r="E269" s="7" t="s">
        <v>46</v>
      </c>
      <c r="F269" s="7">
        <v>387742</v>
      </c>
      <c r="G269" s="7">
        <v>262</v>
      </c>
    </row>
    <row r="270" spans="3:7" ht="15.6" x14ac:dyDescent="0.3">
      <c r="C270" s="8">
        <v>41950</v>
      </c>
      <c r="D270" s="7" t="s">
        <v>50</v>
      </c>
      <c r="E270" s="7" t="s">
        <v>40</v>
      </c>
      <c r="F270" s="7">
        <v>302843</v>
      </c>
      <c r="G270" s="7">
        <v>275</v>
      </c>
    </row>
    <row r="271" spans="3:7" ht="15.6" x14ac:dyDescent="0.3">
      <c r="C271" s="8">
        <v>41965</v>
      </c>
      <c r="D271" s="7" t="s">
        <v>51</v>
      </c>
      <c r="E271" s="7" t="s">
        <v>43</v>
      </c>
      <c r="F271" s="7">
        <v>408024</v>
      </c>
      <c r="G271" s="7">
        <v>261</v>
      </c>
    </row>
    <row r="272" spans="3:7" ht="15.6" x14ac:dyDescent="0.3">
      <c r="C272" s="8">
        <v>40705</v>
      </c>
      <c r="D272" s="7" t="s">
        <v>52</v>
      </c>
      <c r="E272" s="7" t="s">
        <v>46</v>
      </c>
      <c r="F272" s="7">
        <v>463177</v>
      </c>
      <c r="G272" s="7">
        <v>463</v>
      </c>
    </row>
    <row r="273" spans="3:7" ht="15.6" x14ac:dyDescent="0.3">
      <c r="C273" s="8">
        <v>41166</v>
      </c>
      <c r="D273" s="7" t="s">
        <v>53</v>
      </c>
      <c r="E273" s="7" t="s">
        <v>40</v>
      </c>
      <c r="F273" s="7">
        <v>154917</v>
      </c>
      <c r="G273" s="7">
        <v>466</v>
      </c>
    </row>
    <row r="274" spans="3:7" ht="15.6" x14ac:dyDescent="0.3">
      <c r="C274" s="8">
        <v>40872</v>
      </c>
      <c r="D274" s="7" t="s">
        <v>54</v>
      </c>
      <c r="E274" s="7" t="s">
        <v>43</v>
      </c>
      <c r="F274" s="7">
        <v>431670</v>
      </c>
      <c r="G274" s="7">
        <v>285</v>
      </c>
    </row>
    <row r="275" spans="3:7" ht="15.6" x14ac:dyDescent="0.3">
      <c r="C275" s="8">
        <v>41131</v>
      </c>
      <c r="D275" s="7" t="s">
        <v>55</v>
      </c>
      <c r="E275" s="7" t="s">
        <v>46</v>
      </c>
      <c r="F275" s="7">
        <v>305067</v>
      </c>
      <c r="G275" s="7">
        <v>348</v>
      </c>
    </row>
    <row r="276" spans="3:7" ht="15.6" x14ac:dyDescent="0.3">
      <c r="C276" s="8">
        <v>41353</v>
      </c>
      <c r="D276" s="7" t="s">
        <v>37</v>
      </c>
      <c r="E276" s="7" t="s">
        <v>40</v>
      </c>
      <c r="F276" s="7">
        <v>361859</v>
      </c>
      <c r="G276" s="7">
        <v>470</v>
      </c>
    </row>
    <row r="277" spans="3:7" ht="15.6" x14ac:dyDescent="0.3">
      <c r="C277" s="8">
        <v>41638</v>
      </c>
      <c r="D277" s="7" t="s">
        <v>39</v>
      </c>
      <c r="E277" s="7" t="s">
        <v>40</v>
      </c>
      <c r="F277" s="7">
        <v>286936</v>
      </c>
      <c r="G277" s="7">
        <v>296</v>
      </c>
    </row>
    <row r="278" spans="3:7" ht="15.6" x14ac:dyDescent="0.3">
      <c r="C278" s="8">
        <v>41186</v>
      </c>
      <c r="D278" s="7" t="s">
        <v>56</v>
      </c>
      <c r="E278" s="7" t="s">
        <v>43</v>
      </c>
      <c r="F278" s="7">
        <v>360864</v>
      </c>
      <c r="G278" s="7">
        <v>293</v>
      </c>
    </row>
    <row r="279" spans="3:7" ht="15.6" x14ac:dyDescent="0.3">
      <c r="C279" s="8">
        <v>41127</v>
      </c>
      <c r="D279" s="7" t="s">
        <v>14</v>
      </c>
      <c r="E279" s="7" t="s">
        <v>46</v>
      </c>
      <c r="F279" s="7">
        <v>415145</v>
      </c>
      <c r="G279" s="7">
        <v>495</v>
      </c>
    </row>
    <row r="280" spans="3:7" ht="15.6" x14ac:dyDescent="0.3">
      <c r="C280" s="8">
        <v>41184</v>
      </c>
      <c r="D280" s="7" t="s">
        <v>44</v>
      </c>
      <c r="E280" s="7" t="s">
        <v>40</v>
      </c>
      <c r="F280" s="7">
        <v>446259</v>
      </c>
      <c r="G280" s="7">
        <v>315</v>
      </c>
    </row>
    <row r="281" spans="3:7" ht="15.6" x14ac:dyDescent="0.3">
      <c r="C281" s="8">
        <v>41724</v>
      </c>
      <c r="D281" s="7" t="s">
        <v>45</v>
      </c>
      <c r="E281" s="7" t="s">
        <v>43</v>
      </c>
      <c r="F281" s="7">
        <v>141027</v>
      </c>
      <c r="G281" s="7">
        <v>240</v>
      </c>
    </row>
    <row r="282" spans="3:7" ht="15.6" x14ac:dyDescent="0.3">
      <c r="C282" s="8">
        <v>41964</v>
      </c>
      <c r="D282" s="7" t="s">
        <v>11</v>
      </c>
      <c r="E282" s="7" t="s">
        <v>46</v>
      </c>
      <c r="F282" s="7">
        <v>413960</v>
      </c>
      <c r="G282" s="7">
        <v>446</v>
      </c>
    </row>
  </sheetData>
  <mergeCells count="1">
    <mergeCell ref="I3:L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AEF29-A1D1-4476-B021-A4F9B00B0FD0}">
  <sheetPr>
    <tabColor theme="9" tint="0.39997558519241921"/>
  </sheetPr>
  <dimension ref="B3:K26"/>
  <sheetViews>
    <sheetView showGridLines="0" zoomScale="89" zoomScaleNormal="89" workbookViewId="0">
      <selection activeCell="G7" sqref="G7"/>
    </sheetView>
  </sheetViews>
  <sheetFormatPr defaultRowHeight="14.4" x14ac:dyDescent="0.3"/>
  <cols>
    <col min="2" max="2" width="10.77734375" bestFit="1" customWidth="1"/>
    <col min="3" max="3" width="25.33203125" customWidth="1"/>
    <col min="4" max="4" width="21.77734375" bestFit="1" customWidth="1"/>
    <col min="5" max="5" width="27.88671875" customWidth="1"/>
    <col min="6" max="6" width="25.33203125" customWidth="1"/>
    <col min="7" max="8" width="24.77734375" customWidth="1"/>
    <col min="10" max="10" width="14.21875" bestFit="1" customWidth="1"/>
    <col min="11" max="11" width="7.77734375" bestFit="1" customWidth="1"/>
  </cols>
  <sheetData>
    <row r="3" spans="2:11" x14ac:dyDescent="0.3">
      <c r="B3" t="s">
        <v>26</v>
      </c>
      <c r="C3" t="s">
        <v>27</v>
      </c>
      <c r="F3" s="9" t="s">
        <v>190</v>
      </c>
    </row>
    <row r="4" spans="2:11" x14ac:dyDescent="0.3">
      <c r="B4" s="88" t="s">
        <v>28</v>
      </c>
      <c r="C4" s="88" t="s">
        <v>229</v>
      </c>
      <c r="D4" s="88"/>
      <c r="E4" s="88"/>
      <c r="F4" s="9" t="s">
        <v>190</v>
      </c>
    </row>
    <row r="6" spans="2:11" ht="28.8" x14ac:dyDescent="0.3">
      <c r="B6" s="1" t="s">
        <v>1</v>
      </c>
      <c r="C6" s="1" t="s">
        <v>2</v>
      </c>
      <c r="D6" s="1" t="s">
        <v>3</v>
      </c>
      <c r="E6" s="1" t="s">
        <v>4</v>
      </c>
      <c r="F6" s="1" t="s">
        <v>5</v>
      </c>
      <c r="G6" s="5" t="s">
        <v>29</v>
      </c>
      <c r="J6" s="79" t="s">
        <v>230</v>
      </c>
      <c r="K6" s="80"/>
    </row>
    <row r="7" spans="2:11" x14ac:dyDescent="0.3">
      <c r="B7" s="2" t="s">
        <v>6</v>
      </c>
      <c r="C7" s="2" t="s">
        <v>7</v>
      </c>
      <c r="D7" s="2" t="s">
        <v>8</v>
      </c>
      <c r="E7" s="2">
        <v>500000</v>
      </c>
      <c r="F7" s="2">
        <v>14357</v>
      </c>
      <c r="G7" s="4" t="str">
        <f>IF(E7&gt;=500000,"tier 1","tier 2")</f>
        <v>tier 1</v>
      </c>
      <c r="H7" s="56"/>
      <c r="J7" s="57" t="s">
        <v>8</v>
      </c>
      <c r="K7" s="57">
        <v>500000</v>
      </c>
    </row>
    <row r="8" spans="2:11" x14ac:dyDescent="0.3">
      <c r="B8" s="2" t="s">
        <v>6</v>
      </c>
      <c r="C8" s="2" t="s">
        <v>7</v>
      </c>
      <c r="D8" s="2" t="s">
        <v>9</v>
      </c>
      <c r="E8" s="2">
        <v>500000</v>
      </c>
      <c r="F8" s="2">
        <v>38827</v>
      </c>
      <c r="G8" s="4" t="str">
        <f t="shared" ref="G8:G21" si="0">IF(E8&gt;=500000,"tier 1","tier 2")</f>
        <v>tier 1</v>
      </c>
      <c r="H8" s="56"/>
      <c r="J8" s="57" t="s">
        <v>8</v>
      </c>
      <c r="K8" s="57">
        <v>628524</v>
      </c>
    </row>
    <row r="9" spans="2:11" x14ac:dyDescent="0.3">
      <c r="B9" s="2" t="s">
        <v>10</v>
      </c>
      <c r="C9" s="2" t="s">
        <v>11</v>
      </c>
      <c r="D9" s="2" t="s">
        <v>12</v>
      </c>
      <c r="E9" s="2">
        <v>60737</v>
      </c>
      <c r="F9" s="2">
        <v>24176</v>
      </c>
      <c r="G9" s="4" t="str">
        <f t="shared" si="0"/>
        <v>tier 2</v>
      </c>
      <c r="H9" s="56"/>
      <c r="J9" s="58" t="s">
        <v>9</v>
      </c>
      <c r="K9" s="57">
        <v>500000</v>
      </c>
    </row>
    <row r="10" spans="2:11" x14ac:dyDescent="0.3">
      <c r="B10" s="2" t="s">
        <v>13</v>
      </c>
      <c r="C10" s="2" t="s">
        <v>14</v>
      </c>
      <c r="D10" s="2" t="s">
        <v>15</v>
      </c>
      <c r="E10" s="2">
        <v>442431</v>
      </c>
      <c r="F10" s="2">
        <v>48106</v>
      </c>
      <c r="G10" s="4" t="str">
        <f t="shared" si="0"/>
        <v>tier 2</v>
      </c>
      <c r="H10" s="56"/>
      <c r="J10" s="57" t="s">
        <v>12</v>
      </c>
      <c r="K10" s="57">
        <v>1395487</v>
      </c>
    </row>
    <row r="11" spans="2:11" x14ac:dyDescent="0.3">
      <c r="B11" s="2" t="s">
        <v>16</v>
      </c>
      <c r="C11" s="2" t="s">
        <v>11</v>
      </c>
      <c r="D11" s="2" t="s">
        <v>17</v>
      </c>
      <c r="E11" s="2">
        <v>277917</v>
      </c>
      <c r="F11" s="2">
        <v>17309</v>
      </c>
      <c r="G11" s="4" t="str">
        <f t="shared" si="0"/>
        <v>tier 2</v>
      </c>
      <c r="H11" s="56"/>
      <c r="J11" s="57" t="s">
        <v>15</v>
      </c>
      <c r="K11" s="57">
        <v>1666516</v>
      </c>
    </row>
    <row r="12" spans="2:11" x14ac:dyDescent="0.3">
      <c r="B12" s="2" t="s">
        <v>18</v>
      </c>
      <c r="C12" s="2" t="s">
        <v>14</v>
      </c>
      <c r="D12" s="2" t="s">
        <v>8</v>
      </c>
      <c r="E12" s="2">
        <v>282000</v>
      </c>
      <c r="F12" s="2">
        <v>44779</v>
      </c>
      <c r="G12" s="4" t="str">
        <f t="shared" si="0"/>
        <v>tier 2</v>
      </c>
      <c r="H12" s="56"/>
      <c r="J12" s="57" t="s">
        <v>17</v>
      </c>
      <c r="K12" s="57">
        <v>277917</v>
      </c>
    </row>
    <row r="13" spans="2:11" x14ac:dyDescent="0.3">
      <c r="B13" s="2" t="s">
        <v>19</v>
      </c>
      <c r="C13" s="2" t="s">
        <v>20</v>
      </c>
      <c r="D13" s="2" t="s">
        <v>12</v>
      </c>
      <c r="E13" s="2">
        <v>284896</v>
      </c>
      <c r="F13" s="2">
        <v>28207</v>
      </c>
      <c r="G13" s="4" t="str">
        <f t="shared" si="0"/>
        <v>tier 2</v>
      </c>
      <c r="H13" s="56"/>
      <c r="J13" s="57" t="s">
        <v>24</v>
      </c>
      <c r="K13" s="57">
        <v>156106</v>
      </c>
    </row>
    <row r="14" spans="2:11" x14ac:dyDescent="0.3">
      <c r="B14" s="2" t="s">
        <v>21</v>
      </c>
      <c r="C14" s="2" t="s">
        <v>7</v>
      </c>
      <c r="D14" s="2" t="s">
        <v>12</v>
      </c>
      <c r="E14" s="2">
        <v>183510</v>
      </c>
      <c r="F14" s="2">
        <v>45182</v>
      </c>
      <c r="G14" s="4" t="str">
        <f t="shared" si="0"/>
        <v>tier 2</v>
      </c>
      <c r="H14" s="56"/>
      <c r="J14" s="57" t="s">
        <v>231</v>
      </c>
      <c r="K14" s="57">
        <v>4624550</v>
      </c>
    </row>
    <row r="15" spans="2:11" x14ac:dyDescent="0.3">
      <c r="B15" s="2" t="s">
        <v>13</v>
      </c>
      <c r="C15" s="2" t="s">
        <v>14</v>
      </c>
      <c r="D15" s="2" t="s">
        <v>15</v>
      </c>
      <c r="E15" s="2">
        <v>569459</v>
      </c>
      <c r="F15" s="2">
        <v>22735</v>
      </c>
      <c r="G15" s="4" t="str">
        <f t="shared" si="0"/>
        <v>tier 1</v>
      </c>
      <c r="H15" s="56"/>
    </row>
    <row r="16" spans="2:11" x14ac:dyDescent="0.3">
      <c r="B16" s="2" t="s">
        <v>13</v>
      </c>
      <c r="C16" s="2" t="s">
        <v>7</v>
      </c>
      <c r="D16" s="2" t="s">
        <v>12</v>
      </c>
      <c r="E16" s="2">
        <v>480431</v>
      </c>
      <c r="F16" s="2">
        <v>45863</v>
      </c>
      <c r="G16" s="4" t="str">
        <f t="shared" si="0"/>
        <v>tier 2</v>
      </c>
      <c r="H16" s="56"/>
    </row>
    <row r="17" spans="2:8" x14ac:dyDescent="0.3">
      <c r="B17" s="2" t="s">
        <v>22</v>
      </c>
      <c r="C17" s="2" t="s">
        <v>14</v>
      </c>
      <c r="D17" s="2" t="s">
        <v>15</v>
      </c>
      <c r="E17" s="2">
        <v>497206</v>
      </c>
      <c r="F17" s="2">
        <v>46092</v>
      </c>
      <c r="G17" s="4" t="str">
        <f t="shared" si="0"/>
        <v>tier 2</v>
      </c>
      <c r="H17" s="56"/>
    </row>
    <row r="18" spans="2:8" x14ac:dyDescent="0.3">
      <c r="B18" s="2" t="s">
        <v>22</v>
      </c>
      <c r="C18" s="2" t="s">
        <v>23</v>
      </c>
      <c r="D18" s="2" t="s">
        <v>24</v>
      </c>
      <c r="E18" s="2">
        <v>156106</v>
      </c>
      <c r="F18" s="2">
        <v>47983</v>
      </c>
      <c r="G18" s="4" t="str">
        <f t="shared" si="0"/>
        <v>tier 2</v>
      </c>
      <c r="H18" s="56"/>
    </row>
    <row r="19" spans="2:8" x14ac:dyDescent="0.3">
      <c r="B19" s="2" t="s">
        <v>6</v>
      </c>
      <c r="C19" s="2" t="s">
        <v>7</v>
      </c>
      <c r="D19" s="2" t="s">
        <v>8</v>
      </c>
      <c r="E19" s="2">
        <v>346524</v>
      </c>
      <c r="F19" s="2">
        <v>26223</v>
      </c>
      <c r="G19" s="4" t="str">
        <f t="shared" si="0"/>
        <v>tier 2</v>
      </c>
      <c r="H19" s="56"/>
    </row>
    <row r="20" spans="2:8" x14ac:dyDescent="0.3">
      <c r="B20" s="2" t="s">
        <v>6</v>
      </c>
      <c r="C20" s="2" t="s">
        <v>14</v>
      </c>
      <c r="D20" s="2" t="s">
        <v>15</v>
      </c>
      <c r="E20" s="2">
        <v>157420</v>
      </c>
      <c r="F20" s="2">
        <v>44632</v>
      </c>
      <c r="G20" s="4" t="str">
        <f t="shared" si="0"/>
        <v>tier 2</v>
      </c>
      <c r="H20" s="56"/>
    </row>
    <row r="21" spans="2:8" x14ac:dyDescent="0.3">
      <c r="B21" s="2" t="s">
        <v>25</v>
      </c>
      <c r="C21" s="2" t="s">
        <v>14</v>
      </c>
      <c r="D21" s="2" t="s">
        <v>12</v>
      </c>
      <c r="E21" s="2">
        <v>385913</v>
      </c>
      <c r="F21" s="2">
        <v>49369</v>
      </c>
      <c r="G21" s="4" t="str">
        <f t="shared" si="0"/>
        <v>tier 2</v>
      </c>
      <c r="H21" s="56"/>
    </row>
    <row r="23" spans="2:8" ht="15" thickBot="1" x14ac:dyDescent="0.35"/>
    <row r="24" spans="2:8" ht="15" thickBot="1" x14ac:dyDescent="0.35">
      <c r="B24" s="78" t="s">
        <v>31</v>
      </c>
      <c r="C24" s="78"/>
      <c r="D24" s="74" t="s">
        <v>30</v>
      </c>
      <c r="E24" s="75"/>
    </row>
    <row r="25" spans="2:8" ht="15" thickBot="1" x14ac:dyDescent="0.35">
      <c r="B25" s="78"/>
      <c r="C25" s="78"/>
      <c r="D25" s="76" t="s">
        <v>226</v>
      </c>
      <c r="E25" s="77"/>
    </row>
    <row r="26" spans="2:8" ht="29.25" customHeight="1" thickBot="1" x14ac:dyDescent="0.35">
      <c r="B26" s="78"/>
      <c r="C26" s="78"/>
      <c r="D26" s="72"/>
      <c r="E26" s="73"/>
    </row>
  </sheetData>
  <autoFilter ref="B6:G21" xr:uid="{56CAEF29-A1D1-4476-B021-A4F9B00B0FD0}"/>
  <mergeCells count="5">
    <mergeCell ref="D26:E26"/>
    <mergeCell ref="D24:E24"/>
    <mergeCell ref="D25:E25"/>
    <mergeCell ref="B24:C26"/>
    <mergeCell ref="J6:K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7E785-72E6-4D38-B631-AABBEECF5A5D}">
  <sheetPr>
    <tabColor rgb="FFFFC000"/>
  </sheetPr>
  <dimension ref="A1:J43"/>
  <sheetViews>
    <sheetView showGridLines="0" workbookViewId="0">
      <selection activeCell="J15" sqref="J15"/>
    </sheetView>
  </sheetViews>
  <sheetFormatPr defaultColWidth="12.5546875" defaultRowHeight="14.4" x14ac:dyDescent="0.3"/>
  <cols>
    <col min="9" max="9" width="4.77734375" customWidth="1"/>
    <col min="10" max="10" width="87" bestFit="1" customWidth="1"/>
  </cols>
  <sheetData>
    <row r="1" spans="1:10" x14ac:dyDescent="0.3">
      <c r="A1" s="10" t="s">
        <v>59</v>
      </c>
      <c r="B1" s="10" t="s">
        <v>60</v>
      </c>
      <c r="C1" s="10" t="s">
        <v>61</v>
      </c>
      <c r="D1" s="10" t="s">
        <v>62</v>
      </c>
      <c r="E1" s="10" t="s">
        <v>63</v>
      </c>
      <c r="F1" s="10" t="s">
        <v>64</v>
      </c>
      <c r="G1" s="10" t="s">
        <v>65</v>
      </c>
      <c r="H1" s="10" t="s">
        <v>66</v>
      </c>
    </row>
    <row r="2" spans="1:10" x14ac:dyDescent="0.3">
      <c r="A2" s="11">
        <v>1814</v>
      </c>
      <c r="B2" s="11" t="s">
        <v>67</v>
      </c>
      <c r="C2" s="11" t="s">
        <v>68</v>
      </c>
      <c r="D2" s="11" t="s">
        <v>69</v>
      </c>
      <c r="E2" s="11" t="s">
        <v>70</v>
      </c>
      <c r="F2" s="11">
        <v>103</v>
      </c>
      <c r="G2" s="11" t="s">
        <v>71</v>
      </c>
      <c r="H2" s="12">
        <v>32571</v>
      </c>
    </row>
    <row r="3" spans="1:10" x14ac:dyDescent="0.3">
      <c r="A3" s="11">
        <v>1999</v>
      </c>
      <c r="B3" s="11" t="s">
        <v>72</v>
      </c>
      <c r="C3" s="11" t="s">
        <v>73</v>
      </c>
      <c r="D3" s="11" t="s">
        <v>69</v>
      </c>
      <c r="E3" s="11" t="s">
        <v>74</v>
      </c>
      <c r="F3" s="11">
        <v>103</v>
      </c>
      <c r="G3" s="11" t="s">
        <v>71</v>
      </c>
      <c r="H3" s="12">
        <v>35981</v>
      </c>
    </row>
    <row r="4" spans="1:10" x14ac:dyDescent="0.3">
      <c r="A4" s="11">
        <v>1196</v>
      </c>
      <c r="B4" s="11" t="s">
        <v>75</v>
      </c>
      <c r="C4" s="11" t="s">
        <v>76</v>
      </c>
      <c r="D4" s="11" t="s">
        <v>69</v>
      </c>
      <c r="E4" s="11" t="s">
        <v>77</v>
      </c>
      <c r="F4" s="11">
        <v>103</v>
      </c>
      <c r="G4" s="11" t="s">
        <v>71</v>
      </c>
      <c r="H4" s="12">
        <f>H3</f>
        <v>35981</v>
      </c>
      <c r="J4" s="14" t="s">
        <v>188</v>
      </c>
    </row>
    <row r="5" spans="1:10" x14ac:dyDescent="0.3">
      <c r="A5" s="11">
        <v>1906</v>
      </c>
      <c r="B5" s="11" t="s">
        <v>78</v>
      </c>
      <c r="C5" s="11" t="s">
        <v>79</v>
      </c>
      <c r="D5" s="11" t="s">
        <v>80</v>
      </c>
      <c r="E5" s="11" t="s">
        <v>81</v>
      </c>
      <c r="F5" s="11">
        <v>103</v>
      </c>
      <c r="G5" s="11" t="s">
        <v>71</v>
      </c>
      <c r="H5" s="12">
        <v>32779</v>
      </c>
      <c r="J5" s="14" t="s">
        <v>190</v>
      </c>
    </row>
    <row r="6" spans="1:10" x14ac:dyDescent="0.3">
      <c r="A6" s="11">
        <v>1792</v>
      </c>
      <c r="B6" s="12" t="str">
        <f>B5</f>
        <v>Bankler</v>
      </c>
      <c r="C6" s="12" t="str">
        <f t="shared" ref="C6:C7" si="0">C5</f>
        <v>Rowena</v>
      </c>
      <c r="D6" s="11" t="s">
        <v>82</v>
      </c>
      <c r="E6" s="11" t="s">
        <v>83</v>
      </c>
      <c r="F6" s="11">
        <v>103</v>
      </c>
      <c r="G6" s="12" t="str">
        <f>G5</f>
        <v>Building 3</v>
      </c>
      <c r="H6" s="12">
        <v>33231</v>
      </c>
    </row>
    <row r="7" spans="1:10" x14ac:dyDescent="0.3">
      <c r="A7" s="11">
        <v>1982</v>
      </c>
      <c r="B7" s="11" t="s">
        <v>84</v>
      </c>
      <c r="C7" s="12" t="str">
        <f t="shared" si="0"/>
        <v>Rowena</v>
      </c>
      <c r="D7" s="11" t="s">
        <v>80</v>
      </c>
      <c r="E7" s="11" t="s">
        <v>85</v>
      </c>
      <c r="F7" s="11">
        <v>103</v>
      </c>
      <c r="G7" s="11" t="s">
        <v>71</v>
      </c>
      <c r="H7" s="12">
        <v>35523</v>
      </c>
    </row>
    <row r="8" spans="1:10" x14ac:dyDescent="0.3">
      <c r="A8" s="11">
        <v>1167</v>
      </c>
      <c r="B8" s="11" t="s">
        <v>84</v>
      </c>
      <c r="C8" s="11" t="s">
        <v>86</v>
      </c>
      <c r="D8" s="11" t="s">
        <v>80</v>
      </c>
      <c r="E8" s="11" t="s">
        <v>87</v>
      </c>
      <c r="F8" s="11">
        <v>103</v>
      </c>
      <c r="G8" s="11" t="s">
        <v>71</v>
      </c>
      <c r="H8" s="12">
        <v>33346</v>
      </c>
    </row>
    <row r="9" spans="1:10" x14ac:dyDescent="0.3">
      <c r="A9" s="11">
        <v>1673</v>
      </c>
      <c r="B9" s="11" t="s">
        <v>88</v>
      </c>
      <c r="C9" s="11" t="s">
        <v>89</v>
      </c>
      <c r="D9" s="11" t="s">
        <v>90</v>
      </c>
      <c r="E9" s="12" t="str">
        <f>E8</f>
        <v>samb</v>
      </c>
      <c r="F9" s="11">
        <v>103</v>
      </c>
      <c r="G9" s="11" t="s">
        <v>91</v>
      </c>
      <c r="H9" s="12">
        <v>33688</v>
      </c>
    </row>
    <row r="10" spans="1:10" x14ac:dyDescent="0.3">
      <c r="A10" s="11">
        <v>1758</v>
      </c>
      <c r="B10" s="11" t="s">
        <v>92</v>
      </c>
      <c r="C10" s="11" t="s">
        <v>93</v>
      </c>
      <c r="D10" s="11" t="s">
        <v>94</v>
      </c>
      <c r="E10" s="11" t="s">
        <v>95</v>
      </c>
      <c r="F10" s="11">
        <v>103</v>
      </c>
      <c r="G10" s="11" t="s">
        <v>71</v>
      </c>
      <c r="H10" s="12">
        <v>30028</v>
      </c>
    </row>
    <row r="11" spans="1:10" x14ac:dyDescent="0.3">
      <c r="A11" s="11">
        <v>1990</v>
      </c>
      <c r="B11" s="11" t="s">
        <v>96</v>
      </c>
      <c r="C11" s="11" t="s">
        <v>97</v>
      </c>
      <c r="D11" s="11" t="s">
        <v>98</v>
      </c>
      <c r="E11" s="11" t="s">
        <v>99</v>
      </c>
      <c r="F11" s="11">
        <v>103</v>
      </c>
      <c r="G11" s="12" t="str">
        <f>G10</f>
        <v>Building 3</v>
      </c>
      <c r="H11" s="12">
        <v>35840</v>
      </c>
    </row>
    <row r="12" spans="1:10" x14ac:dyDescent="0.3">
      <c r="A12" s="11">
        <v>1966</v>
      </c>
      <c r="B12" s="11" t="s">
        <v>100</v>
      </c>
      <c r="C12" s="12" t="str">
        <f>C11</f>
        <v>Jessica</v>
      </c>
      <c r="D12" s="11" t="s">
        <v>80</v>
      </c>
      <c r="E12" s="11" t="s">
        <v>101</v>
      </c>
      <c r="F12" s="11">
        <v>103</v>
      </c>
      <c r="G12" s="11" t="s">
        <v>71</v>
      </c>
      <c r="H12" s="12">
        <v>30054</v>
      </c>
    </row>
    <row r="13" spans="1:10" x14ac:dyDescent="0.3">
      <c r="A13" s="11">
        <v>1983</v>
      </c>
      <c r="B13" s="12" t="str">
        <f>B12</f>
        <v>Cortlandt</v>
      </c>
      <c r="C13" s="11" t="s">
        <v>102</v>
      </c>
      <c r="D13" s="11" t="s">
        <v>82</v>
      </c>
      <c r="E13" s="11" t="s">
        <v>103</v>
      </c>
      <c r="F13" s="11">
        <v>103</v>
      </c>
      <c r="G13" s="11" t="s">
        <v>104</v>
      </c>
      <c r="H13" s="12">
        <v>35609</v>
      </c>
    </row>
    <row r="14" spans="1:10" x14ac:dyDescent="0.3">
      <c r="A14" s="11">
        <v>1964</v>
      </c>
      <c r="B14" s="11" t="s">
        <v>105</v>
      </c>
      <c r="C14" s="11" t="s">
        <v>106</v>
      </c>
      <c r="D14" s="11" t="s">
        <v>94</v>
      </c>
      <c r="E14" s="11" t="s">
        <v>107</v>
      </c>
      <c r="F14" s="11">
        <v>103</v>
      </c>
      <c r="G14" s="11" t="s">
        <v>91</v>
      </c>
      <c r="H14" s="12">
        <v>33559</v>
      </c>
    </row>
    <row r="15" spans="1:10" x14ac:dyDescent="0.3">
      <c r="A15" s="11">
        <v>1293</v>
      </c>
      <c r="B15" s="11" t="s">
        <v>108</v>
      </c>
      <c r="C15" s="11" t="s">
        <v>109</v>
      </c>
      <c r="D15" s="11" t="s">
        <v>69</v>
      </c>
      <c r="E15" s="11" t="s">
        <v>110</v>
      </c>
      <c r="F15" s="11">
        <v>103</v>
      </c>
      <c r="G15" s="11" t="s">
        <v>71</v>
      </c>
      <c r="H15" s="12">
        <v>30939</v>
      </c>
    </row>
    <row r="16" spans="1:10" x14ac:dyDescent="0.3">
      <c r="A16" s="11">
        <v>1960</v>
      </c>
      <c r="B16" s="11" t="s">
        <v>111</v>
      </c>
      <c r="C16" s="11" t="s">
        <v>112</v>
      </c>
      <c r="D16" s="11" t="s">
        <v>98</v>
      </c>
      <c r="E16" s="11" t="s">
        <v>113</v>
      </c>
      <c r="F16" s="11">
        <v>103</v>
      </c>
      <c r="G16" s="11" t="s">
        <v>104</v>
      </c>
      <c r="H16" s="12">
        <v>31729</v>
      </c>
    </row>
    <row r="17" spans="1:8" x14ac:dyDescent="0.3">
      <c r="A17" s="11">
        <v>1975</v>
      </c>
      <c r="B17" s="11" t="s">
        <v>114</v>
      </c>
      <c r="C17" s="11" t="s">
        <v>115</v>
      </c>
      <c r="D17" s="11" t="s">
        <v>94</v>
      </c>
      <c r="E17" s="11" t="s">
        <v>116</v>
      </c>
      <c r="F17" s="89">
        <f>F16</f>
        <v>103</v>
      </c>
      <c r="G17" s="11" t="s">
        <v>91</v>
      </c>
      <c r="H17" s="12">
        <v>35125</v>
      </c>
    </row>
    <row r="18" spans="1:8" x14ac:dyDescent="0.3">
      <c r="A18" s="11">
        <v>1056</v>
      </c>
      <c r="B18" s="11" t="s">
        <v>117</v>
      </c>
      <c r="C18" s="11" t="s">
        <v>118</v>
      </c>
      <c r="D18" s="11" t="s">
        <v>82</v>
      </c>
      <c r="E18" s="11" t="s">
        <v>119</v>
      </c>
      <c r="F18" s="11">
        <v>121</v>
      </c>
      <c r="G18" s="11" t="s">
        <v>104</v>
      </c>
      <c r="H18" s="12">
        <v>29153</v>
      </c>
    </row>
    <row r="19" spans="1:8" x14ac:dyDescent="0.3">
      <c r="A19" s="11">
        <v>1078</v>
      </c>
      <c r="B19" s="11" t="s">
        <v>120</v>
      </c>
      <c r="C19" s="11" t="s">
        <v>121</v>
      </c>
      <c r="D19" s="11" t="s">
        <v>94</v>
      </c>
      <c r="E19" s="11" t="s">
        <v>122</v>
      </c>
      <c r="F19" s="13">
        <v>119</v>
      </c>
      <c r="G19" s="11" t="s">
        <v>91</v>
      </c>
      <c r="H19" s="12">
        <v>31503</v>
      </c>
    </row>
    <row r="20" spans="1:8" x14ac:dyDescent="0.3">
      <c r="A20" s="11">
        <v>1152</v>
      </c>
      <c r="B20" s="11" t="s">
        <v>123</v>
      </c>
      <c r="C20" s="11" t="s">
        <v>124</v>
      </c>
      <c r="D20" s="11" t="s">
        <v>90</v>
      </c>
      <c r="E20" s="11" t="s">
        <v>125</v>
      </c>
      <c r="F20" s="11">
        <v>118</v>
      </c>
      <c r="G20" s="11" t="s">
        <v>91</v>
      </c>
      <c r="H20" s="12">
        <v>32894</v>
      </c>
    </row>
    <row r="21" spans="1:8" x14ac:dyDescent="0.3">
      <c r="A21" s="11">
        <v>1075</v>
      </c>
      <c r="B21" s="11" t="s">
        <v>126</v>
      </c>
      <c r="C21" s="12" t="str">
        <f>C20</f>
        <v>Mark</v>
      </c>
      <c r="D21" s="11" t="s">
        <v>90</v>
      </c>
      <c r="E21" s="11" t="s">
        <v>127</v>
      </c>
      <c r="F21" s="11">
        <v>126</v>
      </c>
      <c r="G21" s="11" t="s">
        <v>91</v>
      </c>
      <c r="H21" s="12">
        <v>33823</v>
      </c>
    </row>
    <row r="22" spans="1:8" x14ac:dyDescent="0.3">
      <c r="A22" s="11">
        <v>1509</v>
      </c>
      <c r="B22" s="11" t="s">
        <v>128</v>
      </c>
      <c r="C22" s="11" t="s">
        <v>129</v>
      </c>
      <c r="D22" s="11" t="s">
        <v>82</v>
      </c>
      <c r="E22" s="11" t="s">
        <v>130</v>
      </c>
      <c r="F22" s="11">
        <v>135</v>
      </c>
      <c r="G22" s="11" t="s">
        <v>104</v>
      </c>
      <c r="H22" s="12">
        <v>31217</v>
      </c>
    </row>
    <row r="23" spans="1:8" x14ac:dyDescent="0.3">
      <c r="A23" s="11">
        <v>1656</v>
      </c>
      <c r="B23" s="11" t="s">
        <v>131</v>
      </c>
      <c r="C23" s="11" t="s">
        <v>132</v>
      </c>
      <c r="D23" s="11" t="s">
        <v>98</v>
      </c>
      <c r="E23" s="11" t="s">
        <v>133</v>
      </c>
      <c r="F23" s="11">
        <v>149</v>
      </c>
      <c r="G23" s="11" t="s">
        <v>104</v>
      </c>
      <c r="H23" s="12">
        <v>32125</v>
      </c>
    </row>
    <row r="24" spans="1:8" x14ac:dyDescent="0.3">
      <c r="A24" s="11">
        <v>1426</v>
      </c>
      <c r="B24" s="11" t="s">
        <v>134</v>
      </c>
      <c r="C24" s="11" t="s">
        <v>135</v>
      </c>
      <c r="D24" s="11" t="s">
        <v>80</v>
      </c>
      <c r="E24" s="11" t="s">
        <v>136</v>
      </c>
      <c r="F24" s="11">
        <v>128</v>
      </c>
      <c r="G24" s="11" t="s">
        <v>71</v>
      </c>
      <c r="H24" s="12">
        <v>28376</v>
      </c>
    </row>
    <row r="25" spans="1:8" x14ac:dyDescent="0.3">
      <c r="A25" s="11">
        <v>1984</v>
      </c>
      <c r="B25" s="11" t="s">
        <v>137</v>
      </c>
      <c r="C25" s="11" t="s">
        <v>138</v>
      </c>
      <c r="D25" s="11" t="s">
        <v>80</v>
      </c>
      <c r="E25" s="11" t="s">
        <v>139</v>
      </c>
      <c r="F25" s="11">
        <v>204</v>
      </c>
      <c r="G25" s="11" t="s">
        <v>71</v>
      </c>
      <c r="H25" s="12">
        <v>35765</v>
      </c>
    </row>
    <row r="26" spans="1:8" x14ac:dyDescent="0.3">
      <c r="A26" s="11">
        <v>1995</v>
      </c>
      <c r="B26" s="11" t="s">
        <v>140</v>
      </c>
      <c r="C26" s="11" t="s">
        <v>141</v>
      </c>
      <c r="D26" s="11" t="s">
        <v>82</v>
      </c>
      <c r="E26" s="11" t="s">
        <v>142</v>
      </c>
      <c r="F26" s="12">
        <f>F25</f>
        <v>204</v>
      </c>
      <c r="G26" s="11" t="s">
        <v>104</v>
      </c>
      <c r="H26" s="12">
        <v>35855</v>
      </c>
    </row>
    <row r="27" spans="1:8" x14ac:dyDescent="0.3">
      <c r="A27" s="11">
        <v>1359</v>
      </c>
      <c r="B27" s="11" t="s">
        <v>143</v>
      </c>
      <c r="C27" s="11" t="s">
        <v>144</v>
      </c>
      <c r="D27" s="11" t="s">
        <v>80</v>
      </c>
      <c r="E27" s="11" t="s">
        <v>145</v>
      </c>
      <c r="F27" s="11">
        <v>153</v>
      </c>
      <c r="G27" s="11" t="s">
        <v>71</v>
      </c>
      <c r="H27" s="12">
        <v>33094</v>
      </c>
    </row>
    <row r="28" spans="1:8" x14ac:dyDescent="0.3">
      <c r="A28" s="11">
        <v>1931</v>
      </c>
      <c r="B28" s="11" t="s">
        <v>146</v>
      </c>
      <c r="C28" s="12" t="str">
        <f>C27</f>
        <v>Norman</v>
      </c>
      <c r="D28" s="11" t="s">
        <v>94</v>
      </c>
      <c r="E28" s="11" t="s">
        <v>147</v>
      </c>
      <c r="F28" s="11">
        <v>110</v>
      </c>
      <c r="G28" s="11" t="s">
        <v>91</v>
      </c>
      <c r="H28" s="12">
        <v>32679</v>
      </c>
    </row>
    <row r="29" spans="1:8" x14ac:dyDescent="0.3">
      <c r="A29" s="11">
        <v>1723</v>
      </c>
      <c r="B29" s="11" t="s">
        <v>148</v>
      </c>
      <c r="C29" s="11" t="s">
        <v>124</v>
      </c>
      <c r="D29" s="11" t="s">
        <v>149</v>
      </c>
      <c r="E29" s="11" t="s">
        <v>150</v>
      </c>
      <c r="F29" s="11">
        <v>145</v>
      </c>
      <c r="G29" s="11" t="s">
        <v>104</v>
      </c>
      <c r="H29" s="12">
        <v>28531</v>
      </c>
    </row>
    <row r="30" spans="1:8" x14ac:dyDescent="0.3">
      <c r="A30" s="11">
        <v>1949</v>
      </c>
      <c r="B30" s="11" t="s">
        <v>151</v>
      </c>
      <c r="C30" s="11" t="s">
        <v>152</v>
      </c>
      <c r="D30" s="11" t="s">
        <v>80</v>
      </c>
      <c r="E30" s="12" t="str">
        <f>E29</f>
        <v>marks</v>
      </c>
      <c r="F30" s="11">
        <v>147</v>
      </c>
      <c r="G30" s="11" t="s">
        <v>71</v>
      </c>
      <c r="H30" s="12">
        <v>29871</v>
      </c>
    </row>
    <row r="31" spans="1:8" x14ac:dyDescent="0.3">
      <c r="A31" s="11">
        <v>1067</v>
      </c>
      <c r="B31" s="11" t="s">
        <v>153</v>
      </c>
      <c r="C31" s="11" t="s">
        <v>154</v>
      </c>
      <c r="D31" s="11" t="s">
        <v>82</v>
      </c>
      <c r="E31" s="11" t="s">
        <v>155</v>
      </c>
      <c r="F31" s="11">
        <v>123</v>
      </c>
      <c r="G31" s="11" t="s">
        <v>104</v>
      </c>
      <c r="H31" s="12">
        <v>32040</v>
      </c>
    </row>
    <row r="32" spans="1:8" x14ac:dyDescent="0.3">
      <c r="A32" s="11">
        <v>1299</v>
      </c>
      <c r="B32" s="11" t="s">
        <v>156</v>
      </c>
      <c r="C32" s="11" t="s">
        <v>157</v>
      </c>
      <c r="D32" s="11" t="s">
        <v>98</v>
      </c>
      <c r="E32" s="11" t="s">
        <v>158</v>
      </c>
      <c r="F32" s="11">
        <v>127</v>
      </c>
      <c r="G32" s="11" t="s">
        <v>104</v>
      </c>
      <c r="H32" s="12">
        <v>32863</v>
      </c>
    </row>
    <row r="33" spans="1:8" x14ac:dyDescent="0.3">
      <c r="A33" s="11">
        <v>1302</v>
      </c>
      <c r="B33" s="11" t="s">
        <v>159</v>
      </c>
      <c r="C33" s="11" t="s">
        <v>160</v>
      </c>
      <c r="D33" s="11" t="s">
        <v>149</v>
      </c>
      <c r="E33" s="11" t="s">
        <v>161</v>
      </c>
      <c r="F33" s="11">
        <v>139</v>
      </c>
      <c r="G33" s="11" t="s">
        <v>104</v>
      </c>
      <c r="H33" s="12">
        <v>30900</v>
      </c>
    </row>
    <row r="34" spans="1:8" x14ac:dyDescent="0.3">
      <c r="A34" s="11">
        <v>1922</v>
      </c>
      <c r="B34" s="11" t="s">
        <v>162</v>
      </c>
      <c r="C34" s="11" t="s">
        <v>163</v>
      </c>
      <c r="D34" s="11" t="s">
        <v>80</v>
      </c>
      <c r="E34" s="11" t="s">
        <v>164</v>
      </c>
      <c r="F34" s="11">
        <v>146</v>
      </c>
      <c r="G34" s="11" t="s">
        <v>71</v>
      </c>
      <c r="H34" s="12">
        <v>31751</v>
      </c>
    </row>
    <row r="35" spans="1:8" x14ac:dyDescent="0.3">
      <c r="A35" s="11">
        <v>1310</v>
      </c>
      <c r="B35" s="11" t="s">
        <v>162</v>
      </c>
      <c r="C35" s="11" t="s">
        <v>165</v>
      </c>
      <c r="D35" s="11" t="s">
        <v>98</v>
      </c>
      <c r="E35" s="11" t="s">
        <v>166</v>
      </c>
      <c r="F35" s="11">
        <v>137</v>
      </c>
      <c r="G35" s="11" t="s">
        <v>104</v>
      </c>
      <c r="H35" s="12">
        <v>31689</v>
      </c>
    </row>
    <row r="36" spans="1:8" x14ac:dyDescent="0.3">
      <c r="A36" s="11">
        <v>9999</v>
      </c>
      <c r="B36" s="11" t="s">
        <v>162</v>
      </c>
      <c r="C36" s="11" t="s">
        <v>167</v>
      </c>
      <c r="D36" s="11" t="s">
        <v>80</v>
      </c>
      <c r="E36" s="11" t="s">
        <v>168</v>
      </c>
      <c r="F36" s="12">
        <f t="shared" ref="F36:F37" si="1">F35</f>
        <v>137</v>
      </c>
      <c r="G36" s="11" t="s">
        <v>71</v>
      </c>
      <c r="H36" s="12">
        <v>31446</v>
      </c>
    </row>
    <row r="37" spans="1:8" x14ac:dyDescent="0.3">
      <c r="A37" s="11">
        <v>1054</v>
      </c>
      <c r="B37" s="12" t="str">
        <f>B36</f>
        <v>Smith</v>
      </c>
      <c r="C37" s="11" t="s">
        <v>169</v>
      </c>
      <c r="D37" s="11" t="s">
        <v>82</v>
      </c>
      <c r="E37" s="11" t="s">
        <v>170</v>
      </c>
      <c r="F37" s="12">
        <f t="shared" si="1"/>
        <v>137</v>
      </c>
      <c r="G37" s="11" t="s">
        <v>104</v>
      </c>
      <c r="H37" s="12">
        <v>33344</v>
      </c>
    </row>
    <row r="38" spans="1:8" x14ac:dyDescent="0.3">
      <c r="A38" s="11">
        <v>1333</v>
      </c>
      <c r="B38" s="11" t="s">
        <v>171</v>
      </c>
      <c r="C38" s="11" t="s">
        <v>172</v>
      </c>
      <c r="D38" s="11" t="s">
        <v>69</v>
      </c>
      <c r="E38" s="11" t="s">
        <v>173</v>
      </c>
      <c r="F38" s="11">
        <v>122</v>
      </c>
      <c r="G38" s="11" t="s">
        <v>71</v>
      </c>
      <c r="H38" s="12">
        <v>32979</v>
      </c>
    </row>
    <row r="39" spans="1:8" x14ac:dyDescent="0.3">
      <c r="A39" s="11">
        <v>1572</v>
      </c>
      <c r="B39" s="11" t="s">
        <v>174</v>
      </c>
      <c r="C39" s="11" t="s">
        <v>175</v>
      </c>
      <c r="D39" s="11" t="s">
        <v>80</v>
      </c>
      <c r="E39" s="11" t="s">
        <v>176</v>
      </c>
      <c r="F39" s="11">
        <v>116</v>
      </c>
      <c r="G39" s="11" t="s">
        <v>71</v>
      </c>
      <c r="H39" s="12">
        <v>32339</v>
      </c>
    </row>
    <row r="40" spans="1:8" x14ac:dyDescent="0.3">
      <c r="A40" s="11">
        <v>1329</v>
      </c>
      <c r="B40" s="11" t="s">
        <v>177</v>
      </c>
      <c r="C40" s="11" t="s">
        <v>178</v>
      </c>
      <c r="D40" s="11" t="s">
        <v>94</v>
      </c>
      <c r="E40" s="12" t="str">
        <f>E39</f>
        <v>lise-annt</v>
      </c>
      <c r="F40" s="11">
        <v>151</v>
      </c>
      <c r="G40" s="11" t="s">
        <v>91</v>
      </c>
      <c r="H40" s="12">
        <v>32561</v>
      </c>
    </row>
    <row r="41" spans="1:8" x14ac:dyDescent="0.3">
      <c r="A41" s="11">
        <v>1368</v>
      </c>
      <c r="B41" s="11" t="s">
        <v>179</v>
      </c>
      <c r="C41" s="11" t="s">
        <v>180</v>
      </c>
      <c r="D41" s="11" t="s">
        <v>90</v>
      </c>
      <c r="E41" s="11" t="s">
        <v>181</v>
      </c>
      <c r="F41" s="11">
        <v>132</v>
      </c>
      <c r="G41" s="11" t="s">
        <v>91</v>
      </c>
      <c r="H41" s="12">
        <v>30386</v>
      </c>
    </row>
    <row r="42" spans="1:8" x14ac:dyDescent="0.3">
      <c r="A42" s="11">
        <v>1352</v>
      </c>
      <c r="B42" s="11" t="s">
        <v>182</v>
      </c>
      <c r="C42" s="11" t="s">
        <v>183</v>
      </c>
      <c r="D42" s="11" t="s">
        <v>80</v>
      </c>
      <c r="E42" s="11" t="s">
        <v>184</v>
      </c>
      <c r="F42" s="11">
        <v>100</v>
      </c>
      <c r="G42" s="11" t="s">
        <v>71</v>
      </c>
      <c r="H42" s="12">
        <v>30212</v>
      </c>
    </row>
    <row r="43" spans="1:8" x14ac:dyDescent="0.3">
      <c r="A43" s="11">
        <v>1908</v>
      </c>
      <c r="B43" s="11" t="s">
        <v>185</v>
      </c>
      <c r="C43" s="11" t="s">
        <v>186</v>
      </c>
      <c r="D43" s="11" t="s">
        <v>82</v>
      </c>
      <c r="E43" s="11" t="s">
        <v>187</v>
      </c>
      <c r="F43" s="11">
        <v>152</v>
      </c>
      <c r="G43" s="11" t="s">
        <v>104</v>
      </c>
      <c r="H43" s="12">
        <v>30817</v>
      </c>
    </row>
  </sheetData>
  <autoFilter ref="A1:H43" xr:uid="{00000000-0009-0000-0000-000000000000}"/>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8A46C-18E6-4A44-B6A6-56E16468685C}">
  <sheetPr>
    <tabColor theme="3"/>
  </sheetPr>
  <dimension ref="B1:I16"/>
  <sheetViews>
    <sheetView workbookViewId="0">
      <selection activeCell="J15" sqref="J15"/>
    </sheetView>
  </sheetViews>
  <sheetFormatPr defaultColWidth="9.21875" defaultRowHeight="14.4" x14ac:dyDescent="0.3"/>
  <cols>
    <col min="1" max="1" width="9.21875" style="39"/>
    <col min="2" max="2" width="14.21875" style="39" customWidth="1"/>
    <col min="3" max="3" width="15.5546875" style="39" customWidth="1"/>
    <col min="4" max="4" width="16.21875" style="39" customWidth="1"/>
    <col min="5" max="5" width="20.33203125" style="39" customWidth="1"/>
    <col min="6" max="6" width="21.44140625" style="39" bestFit="1" customWidth="1"/>
    <col min="7" max="7" width="13.6640625" style="39" customWidth="1"/>
    <col min="8" max="8" width="24.21875" style="39" customWidth="1"/>
    <col min="9" max="9" width="19.5546875" style="39" customWidth="1"/>
    <col min="10" max="16384" width="9.21875" style="39"/>
  </cols>
  <sheetData>
    <row r="1" spans="2:9" ht="63.45" customHeight="1" x14ac:dyDescent="0.3">
      <c r="B1" s="83" t="s">
        <v>235</v>
      </c>
      <c r="C1" s="83"/>
      <c r="E1" s="83" t="s">
        <v>236</v>
      </c>
      <c r="F1" s="83"/>
      <c r="H1" s="83" t="s">
        <v>243</v>
      </c>
      <c r="I1" s="83"/>
    </row>
    <row r="2" spans="2:9" x14ac:dyDescent="0.3">
      <c r="B2" s="81" t="s">
        <v>234</v>
      </c>
      <c r="C2" s="82"/>
      <c r="E2" s="81" t="s">
        <v>239</v>
      </c>
      <c r="F2" s="82"/>
      <c r="H2" s="81" t="s">
        <v>240</v>
      </c>
      <c r="I2" s="82"/>
    </row>
    <row r="3" spans="2:9" ht="15.75" customHeight="1" x14ac:dyDescent="0.3">
      <c r="B3" s="40" t="s">
        <v>200</v>
      </c>
      <c r="C3" s="40" t="s">
        <v>199</v>
      </c>
      <c r="D3" s="59"/>
      <c r="E3" s="40" t="s">
        <v>199</v>
      </c>
      <c r="F3" s="40" t="s">
        <v>200</v>
      </c>
      <c r="H3" s="40" t="s">
        <v>200</v>
      </c>
      <c r="I3" s="40" t="s">
        <v>199</v>
      </c>
    </row>
    <row r="4" spans="2:9" ht="21.9" customHeight="1" x14ac:dyDescent="0.3">
      <c r="B4" s="41">
        <v>1056</v>
      </c>
      <c r="C4" s="42">
        <f>VLOOKUP(B4,B6:F16,5)</f>
        <v>9865472169</v>
      </c>
      <c r="D4" s="59"/>
      <c r="E4" s="41">
        <v>8854793622</v>
      </c>
      <c r="F4" s="42">
        <f xml:space="preserve"> _xlfn.XLOOKUP(E4,F6:F16,B6:B16)</f>
        <v>1196</v>
      </c>
      <c r="H4" s="41">
        <v>1059</v>
      </c>
      <c r="I4" s="42" t="str">
        <f>IFERROR(VLOOKUP(Lookup!H4,Lookup!B6:F16,5,FALSE),"INVALID VENDOR ID")</f>
        <v>INVALID VENDOR ID</v>
      </c>
    </row>
    <row r="5" spans="2:9" s="43" customFormat="1" ht="12" customHeight="1" x14ac:dyDescent="0.3"/>
    <row r="6" spans="2:9" ht="15.6" x14ac:dyDescent="0.3">
      <c r="B6" s="44" t="s">
        <v>200</v>
      </c>
      <c r="C6" s="44" t="s">
        <v>61</v>
      </c>
      <c r="D6" s="44" t="s">
        <v>60</v>
      </c>
      <c r="E6" s="44" t="s">
        <v>63</v>
      </c>
      <c r="F6" s="44" t="s">
        <v>201</v>
      </c>
    </row>
    <row r="7" spans="2:9" ht="15.6" x14ac:dyDescent="0.3">
      <c r="B7" s="45">
        <v>1054</v>
      </c>
      <c r="C7" s="45" t="s">
        <v>169</v>
      </c>
      <c r="D7" s="45" t="s">
        <v>162</v>
      </c>
      <c r="E7" s="41" t="s">
        <v>202</v>
      </c>
      <c r="F7" s="46">
        <v>8954125712</v>
      </c>
    </row>
    <row r="8" spans="2:9" ht="15.6" x14ac:dyDescent="0.3">
      <c r="B8" s="45">
        <v>1056</v>
      </c>
      <c r="C8" s="45" t="s">
        <v>118</v>
      </c>
      <c r="D8" s="45" t="s">
        <v>117</v>
      </c>
      <c r="E8" s="41" t="s">
        <v>203</v>
      </c>
      <c r="F8" s="46">
        <v>9865472169</v>
      </c>
    </row>
    <row r="9" spans="2:9" ht="15.6" x14ac:dyDescent="0.3">
      <c r="B9" s="45">
        <v>1067</v>
      </c>
      <c r="C9" s="45" t="s">
        <v>154</v>
      </c>
      <c r="D9" s="45" t="s">
        <v>153</v>
      </c>
      <c r="E9" s="41" t="s">
        <v>204</v>
      </c>
      <c r="F9" s="46">
        <v>8856932665</v>
      </c>
    </row>
    <row r="10" spans="2:9" ht="15.6" x14ac:dyDescent="0.3">
      <c r="B10" s="45">
        <v>1075</v>
      </c>
      <c r="C10" s="45" t="s">
        <v>205</v>
      </c>
      <c r="D10" s="45" t="s">
        <v>126</v>
      </c>
      <c r="E10" s="41" t="s">
        <v>206</v>
      </c>
      <c r="F10" s="46">
        <v>7829654851</v>
      </c>
    </row>
    <row r="11" spans="2:9" ht="15.6" x14ac:dyDescent="0.3">
      <c r="B11" s="45">
        <v>1078</v>
      </c>
      <c r="C11" s="45" t="s">
        <v>121</v>
      </c>
      <c r="D11" s="45" t="s">
        <v>120</v>
      </c>
      <c r="E11" s="41" t="s">
        <v>207</v>
      </c>
      <c r="F11" s="46">
        <v>9032658741</v>
      </c>
    </row>
    <row r="12" spans="2:9" ht="15.6" x14ac:dyDescent="0.3">
      <c r="B12" s="45">
        <v>1152</v>
      </c>
      <c r="C12" s="45" t="s">
        <v>124</v>
      </c>
      <c r="D12" s="45" t="s">
        <v>123</v>
      </c>
      <c r="E12" s="41" t="s">
        <v>208</v>
      </c>
      <c r="F12" s="46">
        <v>9715849635</v>
      </c>
    </row>
    <row r="13" spans="2:9" ht="15.6" x14ac:dyDescent="0.3">
      <c r="B13" s="45">
        <v>1196</v>
      </c>
      <c r="C13" s="45" t="s">
        <v>76</v>
      </c>
      <c r="D13" s="45" t="s">
        <v>75</v>
      </c>
      <c r="E13" s="41" t="s">
        <v>209</v>
      </c>
      <c r="F13" s="46">
        <v>8854793622</v>
      </c>
    </row>
    <row r="14" spans="2:9" ht="15.6" x14ac:dyDescent="0.3">
      <c r="B14" s="45">
        <v>1284</v>
      </c>
      <c r="C14" s="45" t="s">
        <v>89</v>
      </c>
      <c r="D14" s="45" t="s">
        <v>210</v>
      </c>
      <c r="E14" s="41" t="s">
        <v>211</v>
      </c>
      <c r="F14" s="46">
        <v>9563222147</v>
      </c>
    </row>
    <row r="15" spans="2:9" ht="15.6" x14ac:dyDescent="0.3">
      <c r="B15" s="45">
        <v>1290</v>
      </c>
      <c r="C15" s="45" t="s">
        <v>213</v>
      </c>
      <c r="D15" s="45" t="s">
        <v>212</v>
      </c>
      <c r="E15" s="41" t="s">
        <v>214</v>
      </c>
      <c r="F15" s="46">
        <v>9758621300</v>
      </c>
    </row>
    <row r="16" spans="2:9" ht="15.6" x14ac:dyDescent="0.3">
      <c r="B16" s="45">
        <v>1293</v>
      </c>
      <c r="C16" s="45" t="s">
        <v>109</v>
      </c>
      <c r="D16" s="45" t="s">
        <v>108</v>
      </c>
      <c r="E16" s="41" t="s">
        <v>215</v>
      </c>
      <c r="F16" s="46">
        <v>9108016013</v>
      </c>
    </row>
  </sheetData>
  <mergeCells count="6">
    <mergeCell ref="B2:C2"/>
    <mergeCell ref="E2:F2"/>
    <mergeCell ref="B1:C1"/>
    <mergeCell ref="E1:F1"/>
    <mergeCell ref="H1:I1"/>
    <mergeCell ref="H2:I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93E2C-BB05-4A3C-B8CF-241AC28EE6CA}">
  <sheetPr>
    <tabColor rgb="FF7030A0"/>
  </sheetPr>
  <dimension ref="B2:K11"/>
  <sheetViews>
    <sheetView showGridLines="0" tabSelected="1" workbookViewId="0">
      <selection activeCell="H11" sqref="H11"/>
    </sheetView>
  </sheetViews>
  <sheetFormatPr defaultRowHeight="14.4" x14ac:dyDescent="0.3"/>
  <cols>
    <col min="3" max="3" width="15.44140625" customWidth="1"/>
    <col min="4" max="4" width="18.21875" bestFit="1" customWidth="1"/>
    <col min="5" max="5" width="20.44140625" bestFit="1" customWidth="1"/>
  </cols>
  <sheetData>
    <row r="2" spans="2:11" ht="89.55" customHeight="1" x14ac:dyDescent="0.3">
      <c r="D2" s="64" t="s">
        <v>238</v>
      </c>
      <c r="E2" s="64"/>
      <c r="G2" s="84" t="s">
        <v>192</v>
      </c>
      <c r="H2" s="84"/>
      <c r="I2" s="84"/>
      <c r="J2" s="84"/>
      <c r="K2" s="84"/>
    </row>
    <row r="3" spans="2:11" ht="71.099999999999994" customHeight="1" x14ac:dyDescent="0.3">
      <c r="D3" s="85" t="s">
        <v>237</v>
      </c>
      <c r="E3" s="86"/>
      <c r="G3" s="60"/>
      <c r="H3" s="60"/>
      <c r="I3" s="60"/>
      <c r="J3" s="60"/>
      <c r="K3" s="60"/>
    </row>
    <row r="4" spans="2:11" ht="21.45" customHeight="1" x14ac:dyDescent="0.3">
      <c r="B4" t="s">
        <v>248</v>
      </c>
      <c r="D4" s="87"/>
      <c r="E4" s="87"/>
    </row>
    <row r="5" spans="2:11" x14ac:dyDescent="0.3">
      <c r="B5" t="s">
        <v>249</v>
      </c>
      <c r="D5" s="49" t="s">
        <v>216</v>
      </c>
      <c r="E5" s="49" t="s">
        <v>232</v>
      </c>
    </row>
    <row r="6" spans="2:11" x14ac:dyDescent="0.3">
      <c r="B6" t="s">
        <v>250</v>
      </c>
      <c r="D6" s="50" t="s">
        <v>217</v>
      </c>
      <c r="E6" s="62"/>
    </row>
    <row r="7" spans="2:11" x14ac:dyDescent="0.3">
      <c r="B7" t="s">
        <v>69</v>
      </c>
      <c r="D7" s="50" t="s">
        <v>218</v>
      </c>
      <c r="E7" s="62"/>
    </row>
    <row r="8" spans="2:11" x14ac:dyDescent="0.3">
      <c r="B8" t="s">
        <v>251</v>
      </c>
      <c r="D8" s="50" t="s">
        <v>219</v>
      </c>
      <c r="E8" s="62" t="s">
        <v>250</v>
      </c>
    </row>
    <row r="9" spans="2:11" x14ac:dyDescent="0.3">
      <c r="B9" t="s">
        <v>252</v>
      </c>
      <c r="D9" s="50" t="s">
        <v>220</v>
      </c>
      <c r="E9" s="62"/>
    </row>
    <row r="10" spans="2:11" x14ac:dyDescent="0.3">
      <c r="D10" s="50" t="s">
        <v>221</v>
      </c>
      <c r="E10" s="62" t="s">
        <v>69</v>
      </c>
    </row>
    <row r="11" spans="2:11" x14ac:dyDescent="0.3">
      <c r="D11" s="50" t="s">
        <v>222</v>
      </c>
      <c r="E11" s="62"/>
    </row>
  </sheetData>
  <mergeCells count="3">
    <mergeCell ref="D2:E2"/>
    <mergeCell ref="G2:K2"/>
    <mergeCell ref="D3:E4"/>
  </mergeCells>
  <dataValidations count="1">
    <dataValidation type="list" allowBlank="1" showInputMessage="1" showErrorMessage="1" sqref="E8 E10" xr:uid="{56B31973-7802-4FD3-AE33-4B41C0127123}">
      <formula1>$B$4:$B$9</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Conditional Formatting</vt:lpstr>
      <vt:lpstr>Formatted Table &amp; Slicers</vt:lpstr>
      <vt:lpstr>Referenc</vt:lpstr>
      <vt:lpstr>Revenue in %</vt:lpstr>
      <vt:lpstr>Revenue in dubai</vt:lpstr>
      <vt:lpstr>Pivot</vt:lpstr>
      <vt:lpstr>IF conditions</vt:lpstr>
      <vt:lpstr>Working with empty cells</vt:lpstr>
      <vt:lpstr>Lookup</vt:lpstr>
      <vt:lpstr>Validation</vt:lpstr>
    </vt:vector>
  </TitlesOfParts>
  <Company>CyberSpace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Dhananjay Bhat</dc:creator>
  <cp:lastModifiedBy>innaya imam</cp:lastModifiedBy>
  <dcterms:created xsi:type="dcterms:W3CDTF">2025-09-01T14:53:21Z</dcterms:created>
  <dcterms:modified xsi:type="dcterms:W3CDTF">2026-09-19T10:22:57Z</dcterms:modified>
</cp:coreProperties>
</file>